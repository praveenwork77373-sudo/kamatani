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1703こやまクリニック\"/>
    </mc:Choice>
  </mc:AlternateContent>
  <xr:revisionPtr revIDLastSave="0" documentId="13_ncr:1_{53A25A00-948F-4CDB-8648-D3FF97BE0E41}" xr6:coauthVersionLast="47" xr6:coauthVersionMax="47" xr10:uidLastSave="{00000000-0000-0000-0000-000000000000}"/>
  <bookViews>
    <workbookView xWindow="-120" yWindow="-120" windowWidth="29040" windowHeight="15720" tabRatio="736" activeTab="1" xr2:uid="{08E40F5C-22EB-4C86-B5E5-B44970D32073}"/>
  </bookViews>
  <sheets>
    <sheet name="請求明細" sheetId="39" r:id="rId1"/>
    <sheet name="個人明細　入力用" sheetId="37" r:id="rId2"/>
  </sheets>
  <definedNames>
    <definedName name="_xlnm._FilterDatabase" localSheetId="1" hidden="1">'個人明細　入力用'!$A$1:$Z$182</definedName>
    <definedName name="_xlnm.Print_Area" localSheetId="0">請求明細!$A$1:$G$49</definedName>
    <definedName name="_xlnm.Print_Titles" localSheetId="1">'個人明細　入力用'!$1:$1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39" l="1"/>
  <c r="G48" i="39" s="1"/>
  <c r="F47" i="39"/>
  <c r="G47" i="39" s="1"/>
  <c r="F7" i="39"/>
  <c r="G7" i="39" s="1"/>
  <c r="F8" i="39"/>
  <c r="G8" i="39" s="1"/>
  <c r="F9" i="39"/>
  <c r="G9" i="39" s="1"/>
  <c r="F10" i="39"/>
  <c r="G10" i="39" s="1"/>
  <c r="F11" i="39"/>
  <c r="G11" i="39" s="1"/>
  <c r="F12" i="39"/>
  <c r="G12" i="39" s="1"/>
  <c r="F13" i="39"/>
  <c r="G13" i="39" s="1"/>
  <c r="F14" i="39"/>
  <c r="G14" i="39" s="1"/>
  <c r="F6" i="39"/>
  <c r="G6" i="39" s="1"/>
  <c r="F15" i="39"/>
  <c r="G15" i="39" s="1"/>
  <c r="F16" i="39"/>
  <c r="G16" i="39" s="1"/>
  <c r="F17" i="39"/>
  <c r="G17" i="39" s="1"/>
  <c r="F18" i="39"/>
  <c r="G18" i="39" s="1"/>
  <c r="F19" i="39"/>
  <c r="G19" i="39" s="1"/>
  <c r="F20" i="39"/>
  <c r="G20" i="39" s="1"/>
  <c r="F21" i="39"/>
  <c r="G21" i="39" s="1"/>
  <c r="F22" i="39"/>
  <c r="G22" i="39" s="1"/>
  <c r="F23" i="39"/>
  <c r="G23" i="39" s="1"/>
  <c r="F24" i="39"/>
  <c r="G24" i="39" s="1"/>
  <c r="F25" i="39"/>
  <c r="G25" i="39" s="1"/>
  <c r="F26" i="39"/>
  <c r="G26" i="39" s="1"/>
  <c r="F27" i="39"/>
  <c r="G27" i="39" s="1"/>
  <c r="F28" i="39"/>
  <c r="G28" i="39" s="1"/>
  <c r="F29" i="39"/>
  <c r="G29" i="39" s="1"/>
  <c r="F30" i="39"/>
  <c r="G30" i="39" s="1"/>
  <c r="F31" i="39"/>
  <c r="G31" i="39" s="1"/>
  <c r="F32" i="39"/>
  <c r="G32" i="39" s="1"/>
  <c r="F33" i="39"/>
  <c r="G33" i="39" s="1"/>
  <c r="F34" i="39"/>
  <c r="G34" i="39" s="1"/>
  <c r="F35" i="39"/>
  <c r="G35" i="39" s="1"/>
  <c r="F36" i="39"/>
  <c r="G36" i="39" s="1"/>
  <c r="F37" i="39"/>
  <c r="G37" i="39" s="1"/>
  <c r="F38" i="39"/>
  <c r="G38" i="39" s="1"/>
  <c r="F39" i="39"/>
  <c r="G39" i="39" s="1"/>
  <c r="F40" i="39"/>
  <c r="G40" i="39" s="1"/>
  <c r="F41" i="39"/>
  <c r="G41" i="39" s="1"/>
  <c r="F42" i="39"/>
  <c r="G42" i="39" s="1"/>
  <c r="F43" i="39"/>
  <c r="G43" i="39" s="1"/>
  <c r="F44" i="39"/>
  <c r="G44" i="39" s="1"/>
  <c r="F45" i="39"/>
  <c r="G45" i="39" s="1"/>
  <c r="F46" i="39"/>
  <c r="G46" i="39" s="1"/>
  <c r="G49" i="39" l="1"/>
  <c r="F49" i="3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C7C36-79B4-4359-AE31-A9E006211F49}" keepAlive="1" name="クエリ - 202501_ユニフォーム名簿" description="ブック内の '202501_ユニフォーム名簿' クエリへの接続です。" type="5" refreshedVersion="8" background="1" saveData="1">
    <dbPr connection="Provider=Microsoft.Mashup.OleDb.1;Data Source=$Workbook$;Location=202501_ユニフォーム名簿;Extended Properties=&quot;&quot;" command="SELECT * FROM [202501_ユニフォーム名簿]"/>
  </connection>
  <connection id="2" xr16:uid="{72A8F1B6-B4F2-4B96-AFDA-CE6C605C4799}" keepAlive="1" name="クエリ - 202501_ユニフォーム名簿 (2)" description="ブック内の '202501_ユニフォーム名簿 (2)' クエリへの接続です。" type="5" refreshedVersion="8" background="1" saveData="1">
    <dbPr connection="Provider=Microsoft.Mashup.OleDb.1;Data Source=$Workbook$;Location=&quot;202501_ユニフォーム名簿 (2)&quot;;Extended Properties=&quot;&quot;" command="SELECT * FROM [202501_ユニフォーム名簿 (2)]"/>
  </connection>
  <connection id="3" xr16:uid="{7EB00B4A-41BB-49C5-863E-8A3157508FF5}" keepAlive="1" name="クエリ - 202501_ユニフォーム名簿 (3)" description="ブック内の '202501_ユニフォーム名簿 (3)' クエリへの接続です。" type="5" refreshedVersion="8" background="1" saveData="1">
    <dbPr connection="Provider=Microsoft.Mashup.OleDb.1;Data Source=$Workbook$;Location=&quot;202501_ユニフォーム名簿 (3)&quot;;Extended Properties=&quot;&quot;" command="SELECT * FROM [202501_ユニフォーム名簿 (3)]"/>
  </connection>
  <connection id="4" xr16:uid="{93A64254-4D4E-488D-8445-D7C1C418394E}" keepAlive="1" name="クエリ - 202501_ユニフォーム名簿 (4)" description="ブック内の '202501_ユニフォーム名簿 (4)' クエリへの接続です。" type="5" refreshedVersion="8" background="1" saveData="1">
    <dbPr connection="Provider=Microsoft.Mashup.OleDb.1;Data Source=$Workbook$;Location=&quot;202501_ユニフォーム名簿 (4)&quot;;Extended Properties=&quot;&quot;" command="SELECT * FROM [202501_ユニフォーム名簿 (4)]"/>
  </connection>
</connections>
</file>

<file path=xl/sharedStrings.xml><?xml version="1.0" encoding="utf-8"?>
<sst xmlns="http://schemas.openxmlformats.org/spreadsheetml/2006/main" count="1483" uniqueCount="509">
  <si>
    <t>髙木　光</t>
  </si>
  <si>
    <t>ﾀｶｷﾞ ﾋｶﾙ</t>
  </si>
  <si>
    <t>看護科</t>
  </si>
  <si>
    <t>中山　久美</t>
  </si>
  <si>
    <t>ﾅｶﾔﾏ ﾋｻﾐ</t>
  </si>
  <si>
    <t>横野　和江</t>
  </si>
  <si>
    <t>ﾖｺﾉ ｶｽﾞｴ</t>
  </si>
  <si>
    <t>紺原　美幸</t>
  </si>
  <si>
    <t>ｺﾝﾊﾞﾗ ﾐﾕｷ</t>
  </si>
  <si>
    <t>有吉　智美</t>
  </si>
  <si>
    <t>ｱﾘﾖｼ ﾄﾓﾐ</t>
  </si>
  <si>
    <t>三枝　陽子</t>
  </si>
  <si>
    <t>ﾐｴ ﾖｳｺ</t>
  </si>
  <si>
    <t>松本　ひろみ</t>
  </si>
  <si>
    <t>ﾏﾂﾓﾄ ﾋﾛﾐ</t>
  </si>
  <si>
    <t>北林　寛子</t>
  </si>
  <si>
    <t>ｷﾀﾊﾞﾔｼ ﾋﾛｺ</t>
  </si>
  <si>
    <t>志内　久美</t>
  </si>
  <si>
    <t>ｼｳﾁ ｸﾐ</t>
  </si>
  <si>
    <t>田中　真由子</t>
  </si>
  <si>
    <t>ﾀﾅｶ ﾏﾕｺ</t>
  </si>
  <si>
    <t>三木　里奈</t>
  </si>
  <si>
    <t>ﾐｷ ﾘﾅ</t>
  </si>
  <si>
    <t>高野　実佳</t>
  </si>
  <si>
    <t>ﾀｶﾉ ﾐｶ</t>
  </si>
  <si>
    <t>村井　美奈子</t>
  </si>
  <si>
    <t>ﾑﾗｲ ﾐﾅｺ</t>
  </si>
  <si>
    <t>岸本　信江</t>
  </si>
  <si>
    <t>ｷｼﾓﾄ ﾉﾌﾞｴ</t>
  </si>
  <si>
    <t>佐藤　祐子</t>
  </si>
  <si>
    <t>ｻﾄｳ ﾕｳｺ</t>
  </si>
  <si>
    <t>岩本　由佳子</t>
  </si>
  <si>
    <t>ｲﾜﾓﾄ ﾕｶｺ</t>
  </si>
  <si>
    <t>加納　友子</t>
  </si>
  <si>
    <t>ｶﾉｳ ﾄﾓｺ</t>
  </si>
  <si>
    <t>青木　美穂</t>
  </si>
  <si>
    <t>ｱｵｷ ﾐﾎ</t>
  </si>
  <si>
    <t>入江　範子</t>
  </si>
  <si>
    <t>ｲﾘｴ ﾉﾘｺ</t>
  </si>
  <si>
    <t>垣内　恵</t>
  </si>
  <si>
    <t>ｶｷｳﾁ ﾒｸﾞﾐ</t>
  </si>
  <si>
    <t>川村　まどか</t>
  </si>
  <si>
    <t>ｶﾜﾑﾗ ﾏﾄﾞｶ</t>
  </si>
  <si>
    <t>岡田　真理子</t>
  </si>
  <si>
    <t>ｵｶﾀﾞ ﾏﾘｺ</t>
  </si>
  <si>
    <t>井野　一恵</t>
  </si>
  <si>
    <t>ｲﾉ ｶｽﾞｴ</t>
  </si>
  <si>
    <t>福井　明日香</t>
  </si>
  <si>
    <t>ﾌｸｲ ｱｽｶ</t>
  </si>
  <si>
    <t>福田　あゆ美</t>
  </si>
  <si>
    <t>ﾌｸﾀﾞ ｱﾕﾐ</t>
  </si>
  <si>
    <t>武本　由愛</t>
  </si>
  <si>
    <t>ﾀｹﾓﾄ ﾕﾒ</t>
  </si>
  <si>
    <t>森下　眞由美</t>
  </si>
  <si>
    <t>ﾓﾘｼﾀ ﾏﾕﾐ</t>
  </si>
  <si>
    <t>植本　静佳</t>
  </si>
  <si>
    <t>ｳｴﾓﾄ ｼｽﾞｶ</t>
  </si>
  <si>
    <t>ｹｱﾜｰｶｰ　</t>
  </si>
  <si>
    <t>黒田　慶子</t>
  </si>
  <si>
    <t>ｸﾛﾀﾞ ｹｲｺ</t>
  </si>
  <si>
    <t>真田　美月</t>
  </si>
  <si>
    <t>ｻﾅﾀﾞ ﾐﾂﾞｷ</t>
  </si>
  <si>
    <t>髙橋　真由子</t>
  </si>
  <si>
    <t>ﾀｶﾊｼ ﾏﾕｺ</t>
  </si>
  <si>
    <t>ｸﾗｰｸ　</t>
  </si>
  <si>
    <t>土居　美知代</t>
  </si>
  <si>
    <t>ﾄﾞｲ ﾐﾁﾖ</t>
  </si>
  <si>
    <t>田辺　真弓</t>
  </si>
  <si>
    <t>ﾀﾅﾍﾞ ﾏﾕﾐ</t>
  </si>
  <si>
    <t>眼科</t>
  </si>
  <si>
    <t>岡田　愛弓</t>
  </si>
  <si>
    <t>ｵｶﾀﾞ ｱﾕﾐ</t>
  </si>
  <si>
    <t>友成　和子</t>
  </si>
  <si>
    <t>ﾄﾓﾅﾘ ｶｽﾞｺ</t>
  </si>
  <si>
    <t>西川　郁子</t>
  </si>
  <si>
    <t>ﾆｼｶﾜ ｲｸｺ</t>
  </si>
  <si>
    <t>小川　加奈恵</t>
  </si>
  <si>
    <t>ｵｶﾞﾜ ｶﾅｴ</t>
  </si>
  <si>
    <t>小国　真由美</t>
  </si>
  <si>
    <t>ｵｸﾞﾆ ﾏﾕﾐ</t>
  </si>
  <si>
    <t>美容形成　</t>
  </si>
  <si>
    <t>小野　祐希</t>
  </si>
  <si>
    <t>ｵﾉ ﾕｷ</t>
  </si>
  <si>
    <t>山本　麻里</t>
  </si>
  <si>
    <t>ﾔﾏﾓﾄ ﾏﾘ</t>
  </si>
  <si>
    <t>森田　彰子</t>
  </si>
  <si>
    <t>ﾓﾘﾀ ｱｷｺ</t>
  </si>
  <si>
    <t>案内係　</t>
  </si>
  <si>
    <t>松浦　美貴子</t>
  </si>
  <si>
    <t>ﾏﾂｳﾗ ﾐｷｺ</t>
  </si>
  <si>
    <t>上之園　祐子</t>
  </si>
  <si>
    <t>ｳｴﾉｿﾉ ﾕｳｺ</t>
  </si>
  <si>
    <t>柴田　佳美</t>
  </si>
  <si>
    <t>ｼﾊﾞﾀ ﾖｼﾐ</t>
  </si>
  <si>
    <t>土本　幸</t>
  </si>
  <si>
    <t>ﾂﾁﾓﾄ ﾕｷ</t>
  </si>
  <si>
    <t>西田　宏美</t>
  </si>
  <si>
    <t>ﾆｼﾀﾞ ﾋﾛﾐ</t>
  </si>
  <si>
    <t>在宅医療SC</t>
  </si>
  <si>
    <t>樫原　春美</t>
  </si>
  <si>
    <t>ｶｼﾊﾗ ﾊﾙﾐ</t>
  </si>
  <si>
    <t>原田　安代</t>
  </si>
  <si>
    <t>ﾊﾗﾀﾞ ﾔｽﾖ</t>
  </si>
  <si>
    <t>リハビリ科</t>
  </si>
  <si>
    <t>宮本　浩二</t>
  </si>
  <si>
    <t>ﾐﾔﾓﾄ ｺｳｼﾞ</t>
  </si>
  <si>
    <t>西山　大貴</t>
  </si>
  <si>
    <t>ﾆｼﾔﾏ ﾀｲｷ</t>
  </si>
  <si>
    <t>小原　ゆかり</t>
  </si>
  <si>
    <t>ｵﾊﾗ ﾕｶﾘ</t>
  </si>
  <si>
    <t>平山　泰久</t>
  </si>
  <si>
    <t>ﾋﾗﾔﾏ ﾔｽﾋｻ</t>
  </si>
  <si>
    <t>画像技術科　</t>
  </si>
  <si>
    <t>ｵｵｸﾎﾞ ﾀｸﾐ</t>
  </si>
  <si>
    <t>村上　雅子</t>
  </si>
  <si>
    <t>ﾑﾗｶﾐ ﾏｻｺ</t>
  </si>
  <si>
    <t>財間　朱里</t>
  </si>
  <si>
    <t>ｻﾞｲﾏ ｱｶﾘ</t>
  </si>
  <si>
    <t>佐藤　円</t>
  </si>
  <si>
    <t>ｻﾄｳ ﾏﾄﾞｶ</t>
  </si>
  <si>
    <t>大久保　拓実</t>
  </si>
  <si>
    <t>吉川　智子</t>
  </si>
  <si>
    <t>ﾖｼｶﾜ ﾄﾓｺ</t>
  </si>
  <si>
    <t>近藤　里華子</t>
  </si>
  <si>
    <t>ｺﾝﾄﾞｳ ﾘｶｺ</t>
  </si>
  <si>
    <t>藤内　晶子</t>
  </si>
  <si>
    <t>ﾄｳﾅｲ ｱｷｺ</t>
  </si>
  <si>
    <t>岡西　麻矢</t>
  </si>
  <si>
    <t>ｵｶﾆｼ ｱﾔ</t>
  </si>
  <si>
    <t>検査科　</t>
  </si>
  <si>
    <t>宮川　友里</t>
  </si>
  <si>
    <t>ﾐﾔｶﾞﾜ ﾕﾘ</t>
  </si>
  <si>
    <t>森本　麻帆</t>
  </si>
  <si>
    <t>ﾓﾘﾓﾄ ﾏﾎ</t>
  </si>
  <si>
    <t>矢野　恵津子</t>
  </si>
  <si>
    <t>ﾔﾉ ｴﾂｺ</t>
  </si>
  <si>
    <t>石田　純子</t>
  </si>
  <si>
    <t>ｲｼﾀﾞ ｼﾞｭﾝｺ</t>
  </si>
  <si>
    <t>石戸　仁美</t>
  </si>
  <si>
    <t>ｲｼﾄﾞ ﾋﾄﾐ</t>
  </si>
  <si>
    <t>北條　しょう子</t>
  </si>
  <si>
    <t>ﾎｳｼﾞｮｳ ｼｮｳｺ</t>
  </si>
  <si>
    <t>村岡　百合子</t>
  </si>
  <si>
    <t>ﾑﾗｵｶ ﾕﾘｺ</t>
  </si>
  <si>
    <t>黒瀬　陽子</t>
  </si>
  <si>
    <t>ｸﾛｾ ﾖｳｺ</t>
  </si>
  <si>
    <t>正宗　雅世子</t>
  </si>
  <si>
    <t>ﾏｻﾑﾈ ｶﾖｺ</t>
  </si>
  <si>
    <t>薬剤科　</t>
  </si>
  <si>
    <t>隅田　高広</t>
  </si>
  <si>
    <t>ｽﾐﾀﾞ ﾀｶﾋﾛ</t>
  </si>
  <si>
    <t>井上　恵利</t>
  </si>
  <si>
    <t>ｲﾉｳｴ ｴﾘ</t>
  </si>
  <si>
    <t>濵本　友理子</t>
  </si>
  <si>
    <t>ﾊﾏﾓﾄ ﾕﾘｺ</t>
  </si>
  <si>
    <t>岸本　朋子</t>
  </si>
  <si>
    <t>ｷｼﾓﾄ ﾄﾓｺ</t>
  </si>
  <si>
    <t>藤木　ゆかり</t>
  </si>
  <si>
    <t>ﾌｼﾞｷ ﾕｶﾘ</t>
  </si>
  <si>
    <t>豊田　美紀</t>
  </si>
  <si>
    <t>ﾄﾖﾀﾞ ﾐｷ</t>
  </si>
  <si>
    <t>健診課(ｹｱﾜｰｶｰ)</t>
  </si>
  <si>
    <t>村田　友美</t>
  </si>
  <si>
    <t>ﾑﾗﾀ ﾄﾓﾐ</t>
  </si>
  <si>
    <t>小林　眞由美</t>
  </si>
  <si>
    <t>ｺﾊﾞﾔｼ ﾏﾕﾐ</t>
  </si>
  <si>
    <t xml:space="preserve">健診課(看護師) </t>
  </si>
  <si>
    <t>森下　知子</t>
  </si>
  <si>
    <t>ﾓﾘｼﾀ ﾄﾓｺ</t>
  </si>
  <si>
    <t>中田　利江子</t>
  </si>
  <si>
    <t>ﾅｶﾀ ﾘｴｺ</t>
  </si>
  <si>
    <t>三輪　純子</t>
  </si>
  <si>
    <t>ﾐﾜ ｼﾞｭﾝｺ</t>
  </si>
  <si>
    <t>政岡　葉子</t>
  </si>
  <si>
    <t>ﾏｻｵｶ ﾖｳｺ</t>
  </si>
  <si>
    <t>柏木　香</t>
  </si>
  <si>
    <t>ｶｼﾜｷﾞ ｶｵﾘ</t>
  </si>
  <si>
    <t>髙林　千枝</t>
  </si>
  <si>
    <t>ﾀｶﾊﾞﾔｼ ﾁｴ</t>
  </si>
  <si>
    <t>森　香那子</t>
  </si>
  <si>
    <t>ﾓﾘ ｶﾅｺ</t>
  </si>
  <si>
    <t>西原　梢</t>
  </si>
  <si>
    <t>ﾆｼﾊﾗ ｺｽﾞｴ</t>
  </si>
  <si>
    <t>秋　翔子</t>
  </si>
  <si>
    <t>ｱｷ ｼｮｳｺ</t>
  </si>
  <si>
    <t>双田　麻生子</t>
  </si>
  <si>
    <t>ｿｳﾀﾞ ﾏｷｺ</t>
  </si>
  <si>
    <t>医事課</t>
  </si>
  <si>
    <t>本岡　佳菜子</t>
  </si>
  <si>
    <t>ﾓﾄｵｶ ｶﾅｺ</t>
  </si>
  <si>
    <t>重富　彩也花</t>
  </si>
  <si>
    <t>ｼｹﾞﾄﾐ ｻﾔｶ</t>
  </si>
  <si>
    <t>荒木　佳那</t>
  </si>
  <si>
    <t>ｱﾗｷ ｶﾅ</t>
  </si>
  <si>
    <t>奈良　真弓</t>
  </si>
  <si>
    <t>ﾅﾗ ﾏﾕﾐ</t>
  </si>
  <si>
    <t>堀田　絵美</t>
  </si>
  <si>
    <t>ﾎｯﾀ ｴﾐ</t>
  </si>
  <si>
    <t>野崎　和香子</t>
  </si>
  <si>
    <t>ﾉｻﾞｷ ﾜｶｺ</t>
  </si>
  <si>
    <t>中尾　碧</t>
  </si>
  <si>
    <t>ﾅｶｵ ﾐﾄﾞﾘ</t>
  </si>
  <si>
    <t>橋本　那津枝</t>
  </si>
  <si>
    <t>ﾊｼﾓﾄ ﾅﾂｴ</t>
  </si>
  <si>
    <t>中山　友香子</t>
  </si>
  <si>
    <t>ﾅｶﾔﾏ ﾕｶｺ</t>
  </si>
  <si>
    <t>香山　麻紀</t>
  </si>
  <si>
    <t>ｺｳﾔﾏ ﾏｷ</t>
  </si>
  <si>
    <t>木嶋　政美</t>
  </si>
  <si>
    <t>ｷｼﾞﾏ ﾏｻﾐ</t>
  </si>
  <si>
    <t>前田　陽子</t>
  </si>
  <si>
    <t>ﾏｴﾀﾞ ﾖｳｺ</t>
  </si>
  <si>
    <t>森本　奈津実</t>
  </si>
  <si>
    <t>ﾓﾘﾓﾄ ﾅﾂﾐ</t>
  </si>
  <si>
    <t>宮川　玲子</t>
  </si>
  <si>
    <t>ﾐﾔｶﾞﾜ ﾚｲｺ</t>
  </si>
  <si>
    <t>総務課　</t>
  </si>
  <si>
    <t>藤原　智子</t>
  </si>
  <si>
    <t>ﾌｼﾞﾜﾗ ﾄﾓｺ</t>
  </si>
  <si>
    <t>辰巳　真美</t>
  </si>
  <si>
    <t>ﾀﾂﾐ ﾏﾐ</t>
  </si>
  <si>
    <t>森　英世</t>
  </si>
  <si>
    <t>ﾓﾘ ﾋﾃﾞﾖ</t>
  </si>
  <si>
    <t>満田　萌</t>
  </si>
  <si>
    <t>ﾐﾂﾀﾞ ﾓｴ</t>
  </si>
  <si>
    <t>サービス推進室</t>
  </si>
  <si>
    <t>武田　眞美</t>
  </si>
  <si>
    <t>ﾀｹﾀﾞ ﾏﾅﾐ</t>
  </si>
  <si>
    <t>佐藤　美果</t>
  </si>
  <si>
    <t>ｻﾄｳ ﾐｶ</t>
  </si>
  <si>
    <t>西川　美鈴</t>
  </si>
  <si>
    <t>ﾆｼｶﾜ ﾐｽｽﾞ</t>
  </si>
  <si>
    <t>徳良　浩子</t>
  </si>
  <si>
    <t>ﾄｸﾗ ﾋﾛｺ</t>
  </si>
  <si>
    <t>大東　惠</t>
  </si>
  <si>
    <t>ｵｵﾋｶﾞｼ ﾒｸﾞﾐ</t>
  </si>
  <si>
    <t>内牧　萌</t>
  </si>
  <si>
    <t>ｳﾁﾏｷ ﾓｴ</t>
  </si>
  <si>
    <t>森山　清美</t>
  </si>
  <si>
    <t>ﾓﾘﾔﾏ ｷﾖﾐ</t>
  </si>
  <si>
    <t>氏名</t>
    <phoneticPr fontId="1"/>
  </si>
  <si>
    <t>ﾌﾘｶﾞﾅ</t>
    <phoneticPr fontId="1"/>
  </si>
  <si>
    <t>所属名</t>
    <phoneticPr fontId="1"/>
  </si>
  <si>
    <t>常勤</t>
    <rPh sb="0" eb="2">
      <t>ジョウキン</t>
    </rPh>
    <phoneticPr fontId="1"/>
  </si>
  <si>
    <t>非常勤</t>
    <rPh sb="0" eb="3">
      <t>ヒジョウキン</t>
    </rPh>
    <phoneticPr fontId="1"/>
  </si>
  <si>
    <t>三浦　薫</t>
    <rPh sb="0" eb="2">
      <t>ミウラ</t>
    </rPh>
    <rPh sb="3" eb="4">
      <t>カオル</t>
    </rPh>
    <phoneticPr fontId="1"/>
  </si>
  <si>
    <t>ﾐｳﾗ ｶｵﾙ</t>
    <phoneticPr fontId="1"/>
  </si>
  <si>
    <t>健診課(3F)</t>
    <phoneticPr fontId="1"/>
  </si>
  <si>
    <t>セット数</t>
    <rPh sb="3" eb="4">
      <t>スウ</t>
    </rPh>
    <phoneticPr fontId="1"/>
  </si>
  <si>
    <t>オーバーブラウス</t>
    <phoneticPr fontId="1"/>
  </si>
  <si>
    <t>Aラインスカート</t>
    <phoneticPr fontId="1"/>
  </si>
  <si>
    <t>ワンピース</t>
    <phoneticPr fontId="1"/>
  </si>
  <si>
    <t>5030SC-17</t>
    <phoneticPr fontId="1"/>
  </si>
  <si>
    <t>LL</t>
    <phoneticPr fontId="1"/>
  </si>
  <si>
    <t>L</t>
    <phoneticPr fontId="1"/>
  </si>
  <si>
    <t>枚数</t>
    <rPh sb="0" eb="2">
      <t>マイスウ</t>
    </rPh>
    <phoneticPr fontId="1"/>
  </si>
  <si>
    <t>股下</t>
    <rPh sb="0" eb="2">
      <t>マタシタ</t>
    </rPh>
    <phoneticPr fontId="1"/>
  </si>
  <si>
    <t>S</t>
    <phoneticPr fontId="1"/>
  </si>
  <si>
    <t>SS</t>
    <phoneticPr fontId="1"/>
  </si>
  <si>
    <t>M</t>
    <phoneticPr fontId="1"/>
  </si>
  <si>
    <t>EL</t>
    <phoneticPr fontId="1"/>
  </si>
  <si>
    <t>3L</t>
    <phoneticPr fontId="1"/>
  </si>
  <si>
    <t>4L</t>
    <phoneticPr fontId="1"/>
  </si>
  <si>
    <t>多田　惇</t>
    <rPh sb="0" eb="2">
      <t>タダ</t>
    </rPh>
    <rPh sb="3" eb="4">
      <t>アツシ</t>
    </rPh>
    <phoneticPr fontId="1"/>
  </si>
  <si>
    <t>柏木　孝夫</t>
    <rPh sb="3" eb="4">
      <t>タカシ</t>
    </rPh>
    <rPh sb="4" eb="5">
      <t>オット</t>
    </rPh>
    <phoneticPr fontId="1"/>
  </si>
  <si>
    <t>大久保　匠</t>
    <rPh sb="4" eb="5">
      <t>タクミ</t>
    </rPh>
    <phoneticPr fontId="1"/>
  </si>
  <si>
    <t>スカーフ</t>
    <phoneticPr fontId="1"/>
  </si>
  <si>
    <t>OR71-12</t>
    <phoneticPr fontId="1"/>
  </si>
  <si>
    <t>F</t>
    <phoneticPr fontId="1"/>
  </si>
  <si>
    <t>別寸</t>
    <rPh sb="0" eb="2">
      <t>ベツスン</t>
    </rPh>
    <phoneticPr fontId="1"/>
  </si>
  <si>
    <t>F</t>
  </si>
  <si>
    <t>西谷　裕美子</t>
    <rPh sb="0" eb="2">
      <t>ニシタニ</t>
    </rPh>
    <rPh sb="3" eb="6">
      <t>ユミコ</t>
    </rPh>
    <phoneticPr fontId="1"/>
  </si>
  <si>
    <t>3月退職</t>
    <rPh sb="1" eb="2">
      <t>ガツ</t>
    </rPh>
    <rPh sb="2" eb="4">
      <t>タイショク</t>
    </rPh>
    <phoneticPr fontId="1"/>
  </si>
  <si>
    <t>別寸対応（メーカー発注済み）</t>
    <rPh sb="0" eb="2">
      <t>ベツスン</t>
    </rPh>
    <rPh sb="2" eb="4">
      <t>タイオウ</t>
    </rPh>
    <rPh sb="9" eb="11">
      <t>ハッチュウ</t>
    </rPh>
    <rPh sb="11" eb="12">
      <t>ズ</t>
    </rPh>
    <phoneticPr fontId="1"/>
  </si>
  <si>
    <t>B111・W99・H122（5L予定）</t>
    <rPh sb="16" eb="18">
      <t>ヨテイ</t>
    </rPh>
    <phoneticPr fontId="1"/>
  </si>
  <si>
    <t>5（白衣のみ）</t>
    <rPh sb="2" eb="4">
      <t>ハクイ</t>
    </rPh>
    <phoneticPr fontId="1"/>
  </si>
  <si>
    <t>キュロットではなくスカート希望です</t>
    <rPh sb="13" eb="15">
      <t>キボウ</t>
    </rPh>
    <phoneticPr fontId="1"/>
  </si>
  <si>
    <t>SからMへ変更</t>
    <rPh sb="5" eb="7">
      <t>ヘンコウ</t>
    </rPh>
    <phoneticPr fontId="1"/>
  </si>
  <si>
    <t>LからLLへ変更</t>
    <rPh sb="6" eb="8">
      <t>ヘンコウ</t>
    </rPh>
    <phoneticPr fontId="1"/>
  </si>
  <si>
    <t>華山　博美</t>
    <rPh sb="0" eb="2">
      <t>ハナヤマ</t>
    </rPh>
    <rPh sb="3" eb="5">
      <t>ヒロミ</t>
    </rPh>
    <phoneticPr fontId="1"/>
  </si>
  <si>
    <t>ﾀﾀﾞ　ｼﾞｭﾝ</t>
    <phoneticPr fontId="1"/>
  </si>
  <si>
    <t>医師</t>
    <rPh sb="0" eb="2">
      <t>イシ</t>
    </rPh>
    <phoneticPr fontId="1"/>
  </si>
  <si>
    <t>ｶｼﾜｷﾞﾀｶｵ</t>
    <phoneticPr fontId="1"/>
  </si>
  <si>
    <t>ﾊﾅﾔﾏ　ﾋﾛﾐ</t>
    <phoneticPr fontId="1"/>
  </si>
  <si>
    <t>小山　治</t>
    <rPh sb="0" eb="2">
      <t>コヤマ</t>
    </rPh>
    <rPh sb="3" eb="4">
      <t>オサム</t>
    </rPh>
    <phoneticPr fontId="1"/>
  </si>
  <si>
    <t>ｺﾔﾏ　ｵｻﾑ</t>
    <phoneticPr fontId="1"/>
  </si>
  <si>
    <t>石川　弓子</t>
    <rPh sb="0" eb="2">
      <t>イシカワ</t>
    </rPh>
    <rPh sb="3" eb="5">
      <t>ユミコ</t>
    </rPh>
    <phoneticPr fontId="1"/>
  </si>
  <si>
    <t>ｲｼｶﾜ　ﾕﾐｺ</t>
    <phoneticPr fontId="1"/>
  </si>
  <si>
    <t>倉田　雅之</t>
    <rPh sb="0" eb="2">
      <t>クラタ</t>
    </rPh>
    <rPh sb="3" eb="5">
      <t>マサユキ</t>
    </rPh>
    <phoneticPr fontId="1"/>
  </si>
  <si>
    <t>ｸﾗﾀ　ﾏｻﾕｷ</t>
    <phoneticPr fontId="1"/>
  </si>
  <si>
    <t>大路　剛</t>
    <rPh sb="0" eb="2">
      <t>オオジ</t>
    </rPh>
    <rPh sb="3" eb="4">
      <t>ゴウ</t>
    </rPh>
    <phoneticPr fontId="1"/>
  </si>
  <si>
    <t>ｵｵｼﾞ　ｺﾞｳ</t>
    <phoneticPr fontId="1"/>
  </si>
  <si>
    <t>Ｌ</t>
    <phoneticPr fontId="1"/>
  </si>
  <si>
    <t>買取</t>
    <rPh sb="0" eb="2">
      <t>カイトリ</t>
    </rPh>
    <phoneticPr fontId="1"/>
  </si>
  <si>
    <t>医事課スカーフ買取</t>
    <rPh sb="0" eb="3">
      <t>イジカ</t>
    </rPh>
    <rPh sb="7" eb="9">
      <t>カイトリ</t>
    </rPh>
    <phoneticPr fontId="1"/>
  </si>
  <si>
    <t>NF170-2</t>
    <phoneticPr fontId="1"/>
  </si>
  <si>
    <t>1人　1枚</t>
    <rPh sb="1" eb="2">
      <t>ヒト</t>
    </rPh>
    <rPh sb="4" eb="5">
      <t>マイ</t>
    </rPh>
    <phoneticPr fontId="1"/>
  </si>
  <si>
    <t>M（丈+7㎝）</t>
    <rPh sb="2" eb="3">
      <t>タケ</t>
    </rPh>
    <phoneticPr fontId="1"/>
  </si>
  <si>
    <t>4L（丈+7㎝）</t>
    <rPh sb="3" eb="4">
      <t>タケ</t>
    </rPh>
    <phoneticPr fontId="1"/>
  </si>
  <si>
    <t>枚数</t>
  </si>
  <si>
    <t>上衣</t>
    <rPh sb="0" eb="2">
      <t>ジョウイ</t>
    </rPh>
    <phoneticPr fontId="1"/>
  </si>
  <si>
    <t>LX5527（ホワイト）</t>
  </si>
  <si>
    <t>職種</t>
    <rPh sb="0" eb="2">
      <t>ショクシュ</t>
    </rPh>
    <phoneticPr fontId="1"/>
  </si>
  <si>
    <t>案内係　</t>
    <phoneticPr fontId="1"/>
  </si>
  <si>
    <t>園田　久美</t>
    <rPh sb="0" eb="2">
      <t>ソノダ</t>
    </rPh>
    <rPh sb="3" eb="5">
      <t>クミ</t>
    </rPh>
    <phoneticPr fontId="1"/>
  </si>
  <si>
    <t>看護科</t>
    <phoneticPr fontId="1"/>
  </si>
  <si>
    <t>田村　歩</t>
    <rPh sb="0" eb="2">
      <t>タムラ</t>
    </rPh>
    <rPh sb="3" eb="4">
      <t>アユミ</t>
    </rPh>
    <phoneticPr fontId="1"/>
  </si>
  <si>
    <t>職種</t>
    <rPh sb="0" eb="2">
      <t>ショクシュ</t>
    </rPh>
    <phoneticPr fontId="1"/>
  </si>
  <si>
    <t>看護師</t>
    <rPh sb="0" eb="3">
      <t>カンゴシ</t>
    </rPh>
    <phoneticPr fontId="1"/>
  </si>
  <si>
    <t>ケアワーカー</t>
    <phoneticPr fontId="1"/>
  </si>
  <si>
    <t>クラーク</t>
    <phoneticPr fontId="1"/>
  </si>
  <si>
    <t>眼科</t>
    <rPh sb="0" eb="2">
      <t>ガンカ</t>
    </rPh>
    <phoneticPr fontId="1"/>
  </si>
  <si>
    <t>美容形成</t>
    <rPh sb="0" eb="4">
      <t>ビヨウケイセイ</t>
    </rPh>
    <phoneticPr fontId="1"/>
  </si>
  <si>
    <t>リハビリ助手</t>
    <rPh sb="4" eb="6">
      <t>ジョシュ</t>
    </rPh>
    <phoneticPr fontId="1"/>
  </si>
  <si>
    <t>画像技術科</t>
    <rPh sb="0" eb="4">
      <t>ガゾウギジュツ</t>
    </rPh>
    <rPh sb="4" eb="5">
      <t>カ</t>
    </rPh>
    <phoneticPr fontId="1"/>
  </si>
  <si>
    <t>検査科</t>
    <rPh sb="0" eb="2">
      <t>ケンサ</t>
    </rPh>
    <rPh sb="2" eb="3">
      <t>カ</t>
    </rPh>
    <phoneticPr fontId="1"/>
  </si>
  <si>
    <t>医事課</t>
    <rPh sb="0" eb="3">
      <t>イジカ</t>
    </rPh>
    <phoneticPr fontId="1"/>
  </si>
  <si>
    <t>総務課</t>
    <rPh sb="0" eb="3">
      <t>ソウムカ</t>
    </rPh>
    <phoneticPr fontId="1"/>
  </si>
  <si>
    <t>理学療法士（男性）</t>
    <rPh sb="0" eb="5">
      <t>リガクリョウホウシ</t>
    </rPh>
    <rPh sb="6" eb="8">
      <t>ダンセイ</t>
    </rPh>
    <phoneticPr fontId="1"/>
  </si>
  <si>
    <t>理学療法士（女性）</t>
    <rPh sb="0" eb="5">
      <t>リガクリョウホウシ</t>
    </rPh>
    <rPh sb="6" eb="8">
      <t>ジョセイ</t>
    </rPh>
    <phoneticPr fontId="1"/>
  </si>
  <si>
    <t>画像技術（男性）</t>
    <rPh sb="0" eb="4">
      <t>ガゾウギジュツ</t>
    </rPh>
    <rPh sb="5" eb="7">
      <t>ダンセイ</t>
    </rPh>
    <phoneticPr fontId="1"/>
  </si>
  <si>
    <t>画像技術（女性）</t>
    <rPh sb="0" eb="4">
      <t>ガゾウギジュツ</t>
    </rPh>
    <rPh sb="5" eb="7">
      <t>ジョセイ</t>
    </rPh>
    <phoneticPr fontId="1"/>
  </si>
  <si>
    <t>薬剤科（女性）</t>
    <rPh sb="0" eb="3">
      <t>ヤクザイカ</t>
    </rPh>
    <rPh sb="4" eb="6">
      <t>ジョセイ</t>
    </rPh>
    <phoneticPr fontId="1"/>
  </si>
  <si>
    <t>薬剤科（男性）</t>
    <rPh sb="0" eb="3">
      <t>ヤクザイカ</t>
    </rPh>
    <rPh sb="4" eb="6">
      <t>ダンセイ</t>
    </rPh>
    <phoneticPr fontId="1"/>
  </si>
  <si>
    <t>LX4157(ﾎﾜｲﾄ)</t>
  </si>
  <si>
    <t>RF5482(ﾈｲﾋﾞｰ)</t>
  </si>
  <si>
    <t>NI5233(ﾎﾜｲﾄ)</t>
  </si>
  <si>
    <t>RF5503(ﾈｲﾋﾞｰ)</t>
  </si>
  <si>
    <t>972-45</t>
  </si>
  <si>
    <t>BCJ0715-16</t>
  </si>
  <si>
    <t>986-48</t>
  </si>
  <si>
    <t>844-48</t>
  </si>
  <si>
    <t>BCS2115-16</t>
  </si>
  <si>
    <t>3024SC-5</t>
  </si>
  <si>
    <t>AC3214-16</t>
  </si>
  <si>
    <t>AP6244-16</t>
  </si>
  <si>
    <t>案内・サービス・サポート</t>
    <rPh sb="0" eb="2">
      <t>アンナイ</t>
    </rPh>
    <phoneticPr fontId="1"/>
  </si>
  <si>
    <t>039-28</t>
  </si>
  <si>
    <t>038-28</t>
  </si>
  <si>
    <t>971-41</t>
  </si>
  <si>
    <t>163-28</t>
  </si>
  <si>
    <t>257-28</t>
  </si>
  <si>
    <t>パンツ</t>
    <phoneticPr fontId="1"/>
  </si>
  <si>
    <t>7023SCP-5</t>
  </si>
  <si>
    <t>7051SC-2</t>
  </si>
  <si>
    <t>6014SC-17</t>
  </si>
  <si>
    <t>5021SC-17</t>
  </si>
  <si>
    <t>7023SCP-2</t>
  </si>
  <si>
    <t>3023SC-20</t>
  </si>
  <si>
    <t>3024SC-17</t>
  </si>
  <si>
    <t>AO5802-8</t>
  </si>
  <si>
    <t>71-139</t>
  </si>
  <si>
    <t>7088SC-7</t>
  </si>
  <si>
    <t>KEX5110</t>
  </si>
  <si>
    <t>AY5522（ネイビー）</t>
  </si>
  <si>
    <t>HK13</t>
  </si>
  <si>
    <t>診察衣</t>
    <rPh sb="0" eb="2">
      <t>シンサツ</t>
    </rPh>
    <rPh sb="2" eb="3">
      <t>イ</t>
    </rPh>
    <phoneticPr fontId="1"/>
  </si>
  <si>
    <t>サイズ</t>
  </si>
  <si>
    <t>サイズ</t>
    <phoneticPr fontId="1"/>
  </si>
  <si>
    <t>LX5527（ホワイト）</t>
    <phoneticPr fontId="1"/>
  </si>
  <si>
    <t>オーバーブラウス</t>
  </si>
  <si>
    <t>診察衣</t>
    <rPh sb="0" eb="3">
      <t>シンサツイ</t>
    </rPh>
    <phoneticPr fontId="1"/>
  </si>
  <si>
    <t>Aスカート・キュロット・パンツ</t>
  </si>
  <si>
    <t>Aスカート・キュロット・パンツ</t>
    <phoneticPr fontId="1"/>
  </si>
  <si>
    <t>ワンピース・上衣</t>
    <rPh sb="6" eb="8">
      <t>ジョウイ</t>
    </rPh>
    <phoneticPr fontId="1"/>
  </si>
  <si>
    <t>契約番号</t>
    <rPh sb="0" eb="2">
      <t>ケイヤク</t>
    </rPh>
    <rPh sb="2" eb="4">
      <t>バンゴウ</t>
    </rPh>
    <phoneticPr fontId="1"/>
  </si>
  <si>
    <t>R0105</t>
  </si>
  <si>
    <t>R0103</t>
  </si>
  <si>
    <t>契約名</t>
    <rPh sb="0" eb="2">
      <t>ケイヤク</t>
    </rPh>
    <rPh sb="2" eb="3">
      <t>メイ</t>
    </rPh>
    <phoneticPr fontId="1"/>
  </si>
  <si>
    <t>勤務体制</t>
    <rPh sb="0" eb="4">
      <t>キンムタイセイ</t>
    </rPh>
    <phoneticPr fontId="1"/>
  </si>
  <si>
    <t>月額単価/1人</t>
    <rPh sb="0" eb="2">
      <t>ゲツガク</t>
    </rPh>
    <rPh sb="2" eb="4">
      <t>タンカ</t>
    </rPh>
    <rPh sb="6" eb="7">
      <t>リ</t>
    </rPh>
    <phoneticPr fontId="1"/>
  </si>
  <si>
    <t>医師（男女）</t>
    <rPh sb="0" eb="2">
      <t>イシ</t>
    </rPh>
    <rPh sb="3" eb="5">
      <t>ダンジョ</t>
    </rPh>
    <phoneticPr fontId="1"/>
  </si>
  <si>
    <t>非常勤</t>
    <rPh sb="0" eb="1">
      <t>ヒ</t>
    </rPh>
    <rPh sb="1" eb="3">
      <t>ジョウキン</t>
    </rPh>
    <phoneticPr fontId="1"/>
  </si>
  <si>
    <t>看護師（女性）</t>
    <rPh sb="0" eb="3">
      <t>カンゴシ</t>
    </rPh>
    <rPh sb="4" eb="6">
      <t>ジョセイ</t>
    </rPh>
    <phoneticPr fontId="1"/>
  </si>
  <si>
    <t>眼科（女性）</t>
    <rPh sb="0" eb="2">
      <t>ガンカ</t>
    </rPh>
    <rPh sb="3" eb="5">
      <t>ジョセイ</t>
    </rPh>
    <phoneticPr fontId="1"/>
  </si>
  <si>
    <t>検査（女性）</t>
    <rPh sb="0" eb="2">
      <t>ケンサ</t>
    </rPh>
    <rPh sb="3" eb="5">
      <t>ジョセイ</t>
    </rPh>
    <phoneticPr fontId="1"/>
  </si>
  <si>
    <t>画像技術科（女性）</t>
    <rPh sb="0" eb="5">
      <t>ガゾウギジュツカ</t>
    </rPh>
    <rPh sb="6" eb="8">
      <t>ジョセイ</t>
    </rPh>
    <phoneticPr fontId="1"/>
  </si>
  <si>
    <t>画像技術科（男性）</t>
    <rPh sb="0" eb="5">
      <t>ガゾウギジュツカ</t>
    </rPh>
    <rPh sb="6" eb="8">
      <t>ダンセイ</t>
    </rPh>
    <phoneticPr fontId="1"/>
  </si>
  <si>
    <t>リハビリ助手（女性）</t>
    <rPh sb="4" eb="6">
      <t>ジョシュ</t>
    </rPh>
    <rPh sb="7" eb="9">
      <t>ジョセイ</t>
    </rPh>
    <phoneticPr fontId="1"/>
  </si>
  <si>
    <t>ケアワーカー
画像アシスタント
検診課2F</t>
    <rPh sb="7" eb="9">
      <t>ガゾウ</t>
    </rPh>
    <rPh sb="16" eb="18">
      <t>ケンシン</t>
    </rPh>
    <rPh sb="18" eb="19">
      <t>カ</t>
    </rPh>
    <phoneticPr fontId="1"/>
  </si>
  <si>
    <t>クラーク（女性）</t>
    <rPh sb="5" eb="7">
      <t>ジョセイ</t>
    </rPh>
    <phoneticPr fontId="1"/>
  </si>
  <si>
    <t>案内
サービス推進室
サポートセンター</t>
    <rPh sb="0" eb="2">
      <t>アンナイ</t>
    </rPh>
    <rPh sb="7" eb="9">
      <t>スイシン</t>
    </rPh>
    <rPh sb="9" eb="10">
      <t>シツ</t>
    </rPh>
    <phoneticPr fontId="1"/>
  </si>
  <si>
    <t>美容形成（女性）</t>
    <rPh sb="0" eb="4">
      <t>ビヨウケイセイ</t>
    </rPh>
    <rPh sb="5" eb="7">
      <t>ジョセイ</t>
    </rPh>
    <phoneticPr fontId="1"/>
  </si>
  <si>
    <t>薬剤科（女性）</t>
    <rPh sb="0" eb="2">
      <t>ヤクザイ</t>
    </rPh>
    <rPh sb="2" eb="3">
      <t>カ</t>
    </rPh>
    <rPh sb="4" eb="6">
      <t>ジョセイ</t>
    </rPh>
    <phoneticPr fontId="1"/>
  </si>
  <si>
    <t>薬剤科（男性）</t>
    <rPh sb="0" eb="2">
      <t>ヤクザイ</t>
    </rPh>
    <rPh sb="2" eb="3">
      <t>カ</t>
    </rPh>
    <rPh sb="4" eb="6">
      <t>ダンセイ</t>
    </rPh>
    <phoneticPr fontId="1"/>
  </si>
  <si>
    <t>医師（男性白衣のみ）</t>
    <rPh sb="0" eb="2">
      <t>イシ</t>
    </rPh>
    <rPh sb="3" eb="5">
      <t>ダンセイ</t>
    </rPh>
    <rPh sb="5" eb="7">
      <t>ハクイ</t>
    </rPh>
    <phoneticPr fontId="1"/>
  </si>
  <si>
    <t>医師（女性白衣のみ）</t>
    <rPh sb="0" eb="2">
      <t>イシ</t>
    </rPh>
    <rPh sb="3" eb="5">
      <t>ジョセイ</t>
    </rPh>
    <rPh sb="5" eb="7">
      <t>ハクイ</t>
    </rPh>
    <phoneticPr fontId="1"/>
  </si>
  <si>
    <t>金額</t>
    <rPh sb="0" eb="2">
      <t>キンガク</t>
    </rPh>
    <phoneticPr fontId="1"/>
  </si>
  <si>
    <t>合計</t>
    <rPh sb="0" eb="2">
      <t>ゴウケイ</t>
    </rPh>
    <phoneticPr fontId="1"/>
  </si>
  <si>
    <t>M→Sへ変更</t>
    <rPh sb="4" eb="6">
      <t>ヘンコウ</t>
    </rPh>
    <phoneticPr fontId="1"/>
  </si>
  <si>
    <t>対象予定人数</t>
    <rPh sb="0" eb="2">
      <t>タイショウ</t>
    </rPh>
    <rPh sb="2" eb="4">
      <t>ヨテイ</t>
    </rPh>
    <phoneticPr fontId="1"/>
  </si>
  <si>
    <t>こやまクリニック　ユニフォーム請求対象人数</t>
    <rPh sb="15" eb="17">
      <t>セイキュウ</t>
    </rPh>
    <rPh sb="17" eb="19">
      <t>タイショウ</t>
    </rPh>
    <rPh sb="19" eb="21">
      <t>ニンズウ</t>
    </rPh>
    <phoneticPr fontId="1"/>
  </si>
  <si>
    <t>谷口　茉莉佳</t>
    <rPh sb="0" eb="2">
      <t>タニグチ</t>
    </rPh>
    <rPh sb="3" eb="5">
      <t>マリ</t>
    </rPh>
    <rPh sb="5" eb="6">
      <t>カ</t>
    </rPh>
    <phoneticPr fontId="1"/>
  </si>
  <si>
    <t>健診課(3F)</t>
  </si>
  <si>
    <t>ﾀﾑﾗ ｱﾕﾐ</t>
    <phoneticPr fontId="1"/>
  </si>
  <si>
    <t>ｿﾉﾀﾞ ｸﾐ</t>
    <phoneticPr fontId="1"/>
  </si>
  <si>
    <t>ﾀﾆｸﾞﾁ ﾏﾘｶ</t>
    <phoneticPr fontId="1"/>
  </si>
  <si>
    <t>R0101</t>
  </si>
  <si>
    <t>R0111</t>
  </si>
  <si>
    <t>R0121</t>
  </si>
  <si>
    <t>R0201</t>
  </si>
  <si>
    <t>R0202</t>
  </si>
  <si>
    <t>R0211</t>
  </si>
  <si>
    <t>R0212</t>
  </si>
  <si>
    <t>R0221</t>
  </si>
  <si>
    <t>R0222</t>
  </si>
  <si>
    <t>R0231</t>
  </si>
  <si>
    <t>R0102</t>
  </si>
  <si>
    <t>R0104</t>
  </si>
  <si>
    <t>R0106</t>
  </si>
  <si>
    <t>R0112</t>
  </si>
  <si>
    <t>R0113</t>
  </si>
  <si>
    <t>R0122</t>
  </si>
  <si>
    <t>R0131</t>
  </si>
  <si>
    <t>R0132</t>
  </si>
  <si>
    <t>R0141</t>
  </si>
  <si>
    <t>R0142</t>
  </si>
  <si>
    <t>R0143</t>
  </si>
  <si>
    <t>R0144</t>
  </si>
  <si>
    <t>R0151</t>
  </si>
  <si>
    <t>R0152</t>
  </si>
  <si>
    <t>R0153</t>
  </si>
  <si>
    <t>R0154</t>
  </si>
  <si>
    <t>R0161</t>
  </si>
  <si>
    <t>R0162</t>
  </si>
  <si>
    <t>R0171</t>
  </si>
  <si>
    <t>R0172</t>
  </si>
  <si>
    <t>R0181</t>
  </si>
  <si>
    <t>R0182</t>
  </si>
  <si>
    <t>R0183</t>
  </si>
  <si>
    <t>R0191</t>
  </si>
  <si>
    <t>R0192</t>
  </si>
  <si>
    <t>R0232</t>
  </si>
  <si>
    <t>内橋　猛</t>
    <rPh sb="0" eb="2">
      <t>ウチハシ</t>
    </rPh>
    <rPh sb="3" eb="4">
      <t>タケシ</t>
    </rPh>
    <phoneticPr fontId="1"/>
  </si>
  <si>
    <t>ｳﾁﾊｼ ﾀｹｼ</t>
    <phoneticPr fontId="1"/>
  </si>
  <si>
    <t>追加</t>
    <rPh sb="0" eb="2">
      <t>ツイカ</t>
    </rPh>
    <phoneticPr fontId="1"/>
  </si>
  <si>
    <t>退職</t>
    <rPh sb="0" eb="2">
      <t>タイショク</t>
    </rPh>
    <phoneticPr fontId="1"/>
  </si>
  <si>
    <t>月分</t>
    <rPh sb="0" eb="2">
      <t>ガツブン</t>
    </rPh>
    <phoneticPr fontId="1"/>
  </si>
  <si>
    <t>貸与セット
枚数</t>
    <rPh sb="0" eb="2">
      <t>タイヨ</t>
    </rPh>
    <rPh sb="6" eb="8">
      <t>マイスウ</t>
    </rPh>
    <phoneticPr fontId="1"/>
  </si>
  <si>
    <t>入職</t>
    <rPh sb="0" eb="2">
      <t>ニュウショク</t>
    </rPh>
    <phoneticPr fontId="1"/>
  </si>
  <si>
    <t>金涌　可奈子</t>
    <rPh sb="0" eb="1">
      <t>カナ</t>
    </rPh>
    <rPh sb="1" eb="2">
      <t>ワ</t>
    </rPh>
    <rPh sb="3" eb="6">
      <t>カナコ</t>
    </rPh>
    <phoneticPr fontId="1"/>
  </si>
  <si>
    <t>ｶﾅﾜｸ ｶﾅｺ</t>
    <phoneticPr fontId="1"/>
  </si>
  <si>
    <t>R0202</t>
    <phoneticPr fontId="1"/>
  </si>
  <si>
    <t>3024SC-17</t>
    <phoneticPr fontId="1"/>
  </si>
  <si>
    <t>濱岡　美紅</t>
    <rPh sb="0" eb="2">
      <t>ハマオカ</t>
    </rPh>
    <rPh sb="3" eb="5">
      <t>ミク</t>
    </rPh>
    <phoneticPr fontId="1"/>
  </si>
  <si>
    <t>ﾊﾏｵｶ ﾐｸ</t>
    <phoneticPr fontId="1"/>
  </si>
  <si>
    <t>L</t>
    <phoneticPr fontId="1"/>
  </si>
  <si>
    <t>NF170-2 スカーフ1枚</t>
    <rPh sb="13" eb="14">
      <t>マイ</t>
    </rPh>
    <phoneticPr fontId="1"/>
  </si>
  <si>
    <t>退職</t>
    <rPh sb="0" eb="2">
      <t>タイショク</t>
    </rPh>
    <phoneticPr fontId="1"/>
  </si>
  <si>
    <t>宮本　翔斗</t>
    <rPh sb="0" eb="2">
      <t>ミヤモト</t>
    </rPh>
    <rPh sb="3" eb="4">
      <t>ショウ</t>
    </rPh>
    <rPh sb="4" eb="5">
      <t>ト</t>
    </rPh>
    <phoneticPr fontId="1"/>
  </si>
  <si>
    <t>ﾐﾔﾓﾄ　ｼｮｳﾄ</t>
    <phoneticPr fontId="1"/>
  </si>
  <si>
    <t>医師</t>
    <rPh sb="0" eb="2">
      <t>イシ</t>
    </rPh>
    <phoneticPr fontId="1"/>
  </si>
  <si>
    <t>R0107</t>
  </si>
  <si>
    <t>R0108</t>
  </si>
  <si>
    <t>R0109</t>
  </si>
  <si>
    <t>変更</t>
    <rPh sb="0" eb="2">
      <t>ヘンコウ</t>
    </rPh>
    <phoneticPr fontId="1"/>
  </si>
  <si>
    <t>R0241</t>
    <phoneticPr fontId="1"/>
  </si>
  <si>
    <t>R0242</t>
    <phoneticPr fontId="1"/>
  </si>
  <si>
    <t>医師（男性ブレザーのみ）</t>
    <rPh sb="0" eb="2">
      <t>イシ</t>
    </rPh>
    <rPh sb="3" eb="5">
      <t>ダンセイ</t>
    </rPh>
    <phoneticPr fontId="1"/>
  </si>
  <si>
    <t>4（ﾌﾞﾚｻﾞｰのみ）</t>
    <phoneticPr fontId="1"/>
  </si>
  <si>
    <t>KES5160（ホワイト）</t>
    <phoneticPr fontId="1"/>
  </si>
  <si>
    <t>退職</t>
    <rPh sb="0" eb="2">
      <t>タイショク</t>
    </rPh>
    <phoneticPr fontId="1"/>
  </si>
  <si>
    <t>退職</t>
    <rPh sb="0" eb="2">
      <t>タイショク</t>
    </rPh>
    <phoneticPr fontId="1"/>
  </si>
  <si>
    <t>松田　明日香</t>
    <rPh sb="0" eb="2">
      <t>マツダ</t>
    </rPh>
    <rPh sb="3" eb="6">
      <t>アスカ</t>
    </rPh>
    <phoneticPr fontId="1"/>
  </si>
  <si>
    <t>ﾏﾂﾀﾞｱｽｶ</t>
    <phoneticPr fontId="1"/>
  </si>
  <si>
    <t>医事課</t>
    <phoneticPr fontId="1"/>
  </si>
  <si>
    <t>変更</t>
    <rPh sb="0" eb="2">
      <t>ヘンコウ</t>
    </rPh>
    <phoneticPr fontId="1"/>
  </si>
  <si>
    <t>R0111</t>
    <phoneticPr fontId="1"/>
  </si>
  <si>
    <t>4枚→5枚</t>
    <rPh sb="1" eb="2">
      <t>マイ</t>
    </rPh>
    <rPh sb="4" eb="5">
      <t>マイ</t>
    </rPh>
    <phoneticPr fontId="1"/>
  </si>
  <si>
    <t>画像技術（男性）</t>
  </si>
  <si>
    <t>M</t>
  </si>
  <si>
    <t>迫田　絵美</t>
    <rPh sb="0" eb="2">
      <t>サコダ</t>
    </rPh>
    <rPh sb="3" eb="5">
      <t>エミ</t>
    </rPh>
    <phoneticPr fontId="1"/>
  </si>
  <si>
    <t>ｻｺﾀﾞｴﾐ</t>
    <phoneticPr fontId="1"/>
  </si>
  <si>
    <t>医事課</t>
    <phoneticPr fontId="1"/>
  </si>
  <si>
    <t>R0202</t>
    <phoneticPr fontId="1"/>
  </si>
  <si>
    <t>3024SC-17</t>
    <phoneticPr fontId="1"/>
  </si>
  <si>
    <t>M</t>
    <phoneticPr fontId="1"/>
  </si>
  <si>
    <t>入職</t>
    <rPh sb="0" eb="2">
      <t>ニュウショク</t>
    </rPh>
    <phoneticPr fontId="1"/>
  </si>
  <si>
    <t>深田　香織</t>
    <rPh sb="0" eb="2">
      <t>フカダ</t>
    </rPh>
    <rPh sb="3" eb="5">
      <t>カオリ</t>
    </rPh>
    <phoneticPr fontId="1"/>
  </si>
  <si>
    <t>ﾌｶﾀﾞｶｵﾘ</t>
    <phoneticPr fontId="1"/>
  </si>
  <si>
    <t>リハビリ科</t>
    <phoneticPr fontId="1"/>
  </si>
  <si>
    <t>石上　舞子</t>
    <rPh sb="0" eb="2">
      <t>イシガミ</t>
    </rPh>
    <rPh sb="3" eb="5">
      <t>マイコ</t>
    </rPh>
    <phoneticPr fontId="1"/>
  </si>
  <si>
    <t>971-41</t>
    <phoneticPr fontId="1"/>
  </si>
  <si>
    <t>844-48</t>
    <phoneticPr fontId="1"/>
  </si>
  <si>
    <t>R0162</t>
    <phoneticPr fontId="1"/>
  </si>
  <si>
    <t>2026年</t>
    <rPh sb="4" eb="5">
      <t>ネン</t>
    </rPh>
    <phoneticPr fontId="1"/>
  </si>
  <si>
    <t>菅　亜南</t>
    <rPh sb="0" eb="1">
      <t>スガ</t>
    </rPh>
    <rPh sb="2" eb="3">
      <t>ア</t>
    </rPh>
    <rPh sb="3" eb="4">
      <t>ナン</t>
    </rPh>
    <phoneticPr fontId="1"/>
  </si>
  <si>
    <t>ｽｶﾞｱﾅﾝ</t>
    <phoneticPr fontId="1"/>
  </si>
  <si>
    <t>総務課　</t>
    <phoneticPr fontId="1"/>
  </si>
  <si>
    <t>異動</t>
    <rPh sb="0" eb="2">
      <t>イドウ</t>
    </rPh>
    <phoneticPr fontId="1"/>
  </si>
  <si>
    <t>渡部　敦子</t>
    <rPh sb="0" eb="2">
      <t>ワタベ</t>
    </rPh>
    <rPh sb="3" eb="5">
      <t>アツコ</t>
    </rPh>
    <phoneticPr fontId="1"/>
  </si>
  <si>
    <t>ﾜﾀﾍﾞｱﾂｺ</t>
    <phoneticPr fontId="1"/>
  </si>
  <si>
    <t>総務課　</t>
    <phoneticPr fontId="1"/>
  </si>
  <si>
    <t>R0221</t>
    <phoneticPr fontId="1"/>
  </si>
  <si>
    <t>AO5802-8</t>
    <phoneticPr fontId="1"/>
  </si>
  <si>
    <t>→神戸ほくと</t>
    <rPh sb="1" eb="3">
      <t>コウベ</t>
    </rPh>
    <phoneticPr fontId="1"/>
  </si>
  <si>
    <t>髙橋　江利子</t>
    <rPh sb="0" eb="2">
      <t>タカハシ</t>
    </rPh>
    <rPh sb="3" eb="6">
      <t>エリコ</t>
    </rPh>
    <phoneticPr fontId="1"/>
  </si>
  <si>
    <t>ﾀｶﾊｼ ｴﾘｺ</t>
    <phoneticPr fontId="1"/>
  </si>
  <si>
    <t>ｲｼｶﾞﾐ ﾏｲｺ</t>
    <phoneticPr fontId="1"/>
  </si>
  <si>
    <t>R0162</t>
    <phoneticPr fontId="1"/>
  </si>
  <si>
    <t>971-41</t>
    <phoneticPr fontId="1"/>
  </si>
  <si>
    <t>844-48</t>
    <phoneticPr fontId="1"/>
  </si>
  <si>
    <t>LL</t>
    <phoneticPr fontId="1"/>
  </si>
  <si>
    <t>入職</t>
    <rPh sb="0" eb="2">
      <t>ニュウショク</t>
    </rPh>
    <phoneticPr fontId="1"/>
  </si>
  <si>
    <t>楠　直弥</t>
    <rPh sb="0" eb="1">
      <t>クスノキ</t>
    </rPh>
    <rPh sb="2" eb="4">
      <t>ナオヤ</t>
    </rPh>
    <phoneticPr fontId="1"/>
  </si>
  <si>
    <t>ｸｽﾉｷ ﾅｵﾔ</t>
    <phoneticPr fontId="1"/>
  </si>
  <si>
    <t>医師</t>
    <rPh sb="0" eb="2">
      <t>イシ</t>
    </rPh>
    <phoneticPr fontId="1"/>
  </si>
  <si>
    <t>L</t>
    <phoneticPr fontId="1"/>
  </si>
  <si>
    <t>退職</t>
    <rPh sb="0" eb="2">
      <t>タイショク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</si>
</sst>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b/>
      <sz val="10"/>
      <color theme="0"/>
      <name val="游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9" tint="0.79998168889431442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theme="9" tint="0.79998168889431442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thin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9" tint="0.39997558519241921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16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shrinkToFit="1"/>
    </xf>
    <xf numFmtId="0" fontId="4" fillId="2" borderId="0" xfId="1">
      <alignment vertical="center"/>
    </xf>
    <xf numFmtId="0" fontId="4" fillId="0" borderId="0" xfId="1" applyFill="1">
      <alignment vertical="center"/>
    </xf>
    <xf numFmtId="0" fontId="5" fillId="0" borderId="0" xfId="1" applyFont="1" applyFill="1">
      <alignment vertical="center"/>
    </xf>
    <xf numFmtId="0" fontId="3" fillId="0" borderId="0" xfId="1" applyFont="1" applyFill="1">
      <alignment vertical="center"/>
    </xf>
    <xf numFmtId="0" fontId="0" fillId="0" borderId="2" xfId="0" applyBorder="1" applyAlignment="1">
      <alignment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4" fillId="2" borderId="2" xfId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3" borderId="2" xfId="0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38" fontId="10" fillId="0" borderId="4" xfId="2" applyFont="1" applyBorder="1" applyAlignment="1">
      <alignment horizontal="center" vertical="center"/>
    </xf>
    <xf numFmtId="38" fontId="10" fillId="0" borderId="5" xfId="2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38" fontId="10" fillId="0" borderId="7" xfId="2" applyFont="1" applyBorder="1" applyAlignment="1">
      <alignment horizontal="center" vertical="center"/>
    </xf>
    <xf numFmtId="38" fontId="10" fillId="0" borderId="8" xfId="2" applyFont="1" applyBorder="1" applyAlignment="1">
      <alignment horizontal="center" vertical="center"/>
    </xf>
    <xf numFmtId="38" fontId="10" fillId="0" borderId="9" xfId="2" applyFont="1" applyBorder="1" applyAlignment="1">
      <alignment horizontal="center" vertical="center"/>
    </xf>
    <xf numFmtId="38" fontId="10" fillId="0" borderId="10" xfId="2" applyFont="1" applyBorder="1" applyAlignment="1">
      <alignment horizontal="center" vertical="center"/>
    </xf>
    <xf numFmtId="38" fontId="10" fillId="0" borderId="11" xfId="2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3" applyFont="1" applyBorder="1" applyAlignment="1">
      <alignment horizontal="center" vertical="center"/>
    </xf>
    <xf numFmtId="38" fontId="10" fillId="0" borderId="13" xfId="2" applyFont="1" applyBorder="1" applyAlignment="1">
      <alignment horizontal="center" vertical="center"/>
    </xf>
    <xf numFmtId="38" fontId="10" fillId="0" borderId="14" xfId="2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38" fontId="10" fillId="0" borderId="15" xfId="2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6" xfId="3" applyFont="1" applyBorder="1" applyAlignment="1">
      <alignment horizontal="center" vertical="center"/>
    </xf>
    <xf numFmtId="38" fontId="10" fillId="0" borderId="17" xfId="2" applyFont="1" applyBorder="1" applyAlignment="1">
      <alignment horizontal="center" vertical="center"/>
    </xf>
    <xf numFmtId="38" fontId="10" fillId="0" borderId="18" xfId="2" applyFont="1" applyBorder="1" applyAlignment="1">
      <alignment horizontal="center" vertical="center"/>
    </xf>
    <xf numFmtId="38" fontId="10" fillId="0" borderId="22" xfId="2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3" xfId="3" applyFont="1" applyBorder="1" applyAlignment="1">
      <alignment horizontal="center" vertical="center"/>
    </xf>
    <xf numFmtId="38" fontId="10" fillId="0" borderId="24" xfId="2" applyFont="1" applyBorder="1" applyAlignment="1">
      <alignment horizontal="center" vertical="center"/>
    </xf>
    <xf numFmtId="38" fontId="9" fillId="0" borderId="25" xfId="2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38" fontId="9" fillId="0" borderId="27" xfId="2" applyFont="1" applyBorder="1" applyAlignment="1">
      <alignment horizontal="center" vertical="center"/>
    </xf>
    <xf numFmtId="38" fontId="9" fillId="0" borderId="28" xfId="2" applyFont="1" applyBorder="1" applyAlignment="1">
      <alignment horizontal="center" vertical="center"/>
    </xf>
    <xf numFmtId="0" fontId="12" fillId="0" borderId="0" xfId="0" applyFont="1">
      <alignment vertical="center"/>
    </xf>
    <xf numFmtId="0" fontId="10" fillId="0" borderId="20" xfId="0" applyFont="1" applyBorder="1">
      <alignment vertical="center"/>
    </xf>
    <xf numFmtId="0" fontId="9" fillId="0" borderId="19" xfId="0" applyFont="1" applyBorder="1" applyAlignment="1">
      <alignment horizontal="right" vertical="center"/>
    </xf>
    <xf numFmtId="38" fontId="10" fillId="0" borderId="20" xfId="0" applyNumberFormat="1" applyFont="1" applyBorder="1" applyAlignment="1">
      <alignment horizontal="center" vertical="center"/>
    </xf>
    <xf numFmtId="38" fontId="10" fillId="0" borderId="21" xfId="0" applyNumberFormat="1" applyFont="1" applyBorder="1" applyAlignment="1">
      <alignment horizontal="center" vertical="center"/>
    </xf>
    <xf numFmtId="0" fontId="13" fillId="4" borderId="29" xfId="0" applyFont="1" applyFill="1" applyBorder="1">
      <alignment vertical="center"/>
    </xf>
    <xf numFmtId="0" fontId="13" fillId="4" borderId="30" xfId="0" applyFont="1" applyFill="1" applyBorder="1">
      <alignment vertical="center"/>
    </xf>
    <xf numFmtId="0" fontId="14" fillId="4" borderId="31" xfId="0" applyFont="1" applyFill="1" applyBorder="1">
      <alignment vertical="center"/>
    </xf>
    <xf numFmtId="0" fontId="0" fillId="5" borderId="29" xfId="0" applyFill="1" applyBorder="1">
      <alignment vertical="center"/>
    </xf>
    <xf numFmtId="0" fontId="0" fillId="5" borderId="30" xfId="0" applyFill="1" applyBorder="1">
      <alignment vertical="center"/>
    </xf>
    <xf numFmtId="0" fontId="2" fillId="5" borderId="31" xfId="0" applyFont="1" applyFill="1" applyBorder="1" applyAlignment="1">
      <alignment horizontal="right" vertical="center"/>
    </xf>
    <xf numFmtId="0" fontId="0" fillId="0" borderId="29" xfId="0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2" fillId="0" borderId="31" xfId="0" applyFont="1" applyBorder="1" applyAlignment="1">
      <alignment horizontal="right" vertical="center" shrinkToFit="1"/>
    </xf>
    <xf numFmtId="0" fontId="0" fillId="5" borderId="32" xfId="0" applyFill="1" applyBorder="1">
      <alignment vertical="center"/>
    </xf>
    <xf numFmtId="0" fontId="0" fillId="5" borderId="33" xfId="0" applyFill="1" applyBorder="1">
      <alignment vertical="center"/>
    </xf>
    <xf numFmtId="0" fontId="2" fillId="5" borderId="34" xfId="0" applyFon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2" fillId="0" borderId="34" xfId="0" applyFont="1" applyBorder="1" applyAlignment="1">
      <alignment horizontal="right" vertical="center"/>
    </xf>
    <xf numFmtId="0" fontId="0" fillId="5" borderId="33" xfId="0" applyFill="1" applyBorder="1" applyAlignment="1">
      <alignment horizontal="center" vertical="center"/>
    </xf>
    <xf numFmtId="0" fontId="0" fillId="3" borderId="32" xfId="0" applyFill="1" applyBorder="1">
      <alignment vertical="center"/>
    </xf>
    <xf numFmtId="0" fontId="0" fillId="3" borderId="33" xfId="0" applyFill="1" applyBorder="1">
      <alignment vertical="center"/>
    </xf>
    <xf numFmtId="0" fontId="0" fillId="3" borderId="33" xfId="0" applyFill="1" applyBorder="1" applyAlignment="1">
      <alignment horizontal="center" vertical="center"/>
    </xf>
    <xf numFmtId="0" fontId="2" fillId="3" borderId="34" xfId="0" applyFont="1" applyFill="1" applyBorder="1" applyAlignment="1">
      <alignment horizontal="right" vertical="center"/>
    </xf>
    <xf numFmtId="0" fontId="0" fillId="5" borderId="35" xfId="0" applyFill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5" borderId="29" xfId="0" applyFill="1" applyBorder="1" applyAlignment="1">
      <alignment vertical="center" shrinkToFit="1"/>
    </xf>
    <xf numFmtId="0" fontId="0" fillId="5" borderId="30" xfId="0" applyFill="1" applyBorder="1" applyAlignment="1">
      <alignment vertical="center" shrinkToFit="1"/>
    </xf>
    <xf numFmtId="0" fontId="0" fillId="5" borderId="37" xfId="0" applyFill="1" applyBorder="1" applyAlignment="1">
      <alignment vertical="center" shrinkToFit="1"/>
    </xf>
    <xf numFmtId="0" fontId="2" fillId="5" borderId="31" xfId="0" applyFont="1" applyFill="1" applyBorder="1" applyAlignment="1">
      <alignment horizontal="right" vertical="center" shrinkToFit="1"/>
    </xf>
    <xf numFmtId="0" fontId="0" fillId="0" borderId="34" xfId="0" applyBorder="1" applyAlignment="1">
      <alignment horizontal="right"/>
    </xf>
    <xf numFmtId="0" fontId="0" fillId="5" borderId="34" xfId="0" applyFill="1" applyBorder="1" applyAlignment="1">
      <alignment horizontal="right"/>
    </xf>
    <xf numFmtId="0" fontId="0" fillId="5" borderId="34" xfId="0" applyFill="1" applyBorder="1" applyAlignment="1">
      <alignment horizontal="right" vertical="center"/>
    </xf>
    <xf numFmtId="0" fontId="0" fillId="0" borderId="35" xfId="0" applyBorder="1">
      <alignment vertical="center"/>
    </xf>
    <xf numFmtId="0" fontId="0" fillId="0" borderId="36" xfId="0" applyBorder="1" applyAlignment="1">
      <alignment horizontal="right"/>
    </xf>
    <xf numFmtId="0" fontId="0" fillId="5" borderId="31" xfId="0" applyFill="1" applyBorder="1" applyAlignment="1">
      <alignment horizontal="right"/>
    </xf>
    <xf numFmtId="0" fontId="0" fillId="0" borderId="31" xfId="0" applyBorder="1" applyAlignment="1">
      <alignment horizontal="right"/>
    </xf>
    <xf numFmtId="0" fontId="0" fillId="5" borderId="31" xfId="0" applyFill="1" applyBorder="1" applyAlignment="1">
      <alignment horizontal="right" shrinkToFit="1"/>
    </xf>
    <xf numFmtId="0" fontId="0" fillId="0" borderId="34" xfId="0" applyBorder="1" applyAlignment="1">
      <alignment horizontal="right" vertical="center"/>
    </xf>
    <xf numFmtId="0" fontId="0" fillId="5" borderId="36" xfId="0" applyFill="1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5" borderId="31" xfId="0" applyFill="1" applyBorder="1" applyAlignment="1">
      <alignment horizontal="right" vertical="center" shrinkToFit="1"/>
    </xf>
    <xf numFmtId="0" fontId="0" fillId="0" borderId="36" xfId="0" applyBorder="1" applyAlignment="1">
      <alignment horizontal="right" vertical="center"/>
    </xf>
    <xf numFmtId="0" fontId="0" fillId="5" borderId="31" xfId="0" applyFill="1" applyBorder="1" applyAlignment="1">
      <alignment horizontal="right" vertical="center"/>
    </xf>
    <xf numFmtId="0" fontId="0" fillId="0" borderId="37" xfId="0" applyBorder="1" applyAlignment="1">
      <alignment vertical="center" shrinkToFit="1"/>
    </xf>
    <xf numFmtId="0" fontId="0" fillId="0" borderId="31" xfId="0" applyBorder="1" applyAlignment="1">
      <alignment horizontal="right" vertical="center" shrinkToFit="1"/>
    </xf>
    <xf numFmtId="0" fontId="3" fillId="5" borderId="33" xfId="0" applyFont="1" applyFill="1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56" fontId="0" fillId="0" borderId="0" xfId="0" applyNumberForma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9" fillId="0" borderId="26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6" borderId="32" xfId="0" applyFill="1" applyBorder="1">
      <alignment vertical="center"/>
    </xf>
    <xf numFmtId="0" fontId="0" fillId="6" borderId="33" xfId="0" applyFill="1" applyBorder="1">
      <alignment vertical="center"/>
    </xf>
    <xf numFmtId="0" fontId="0" fillId="6" borderId="34" xfId="0" applyFill="1" applyBorder="1" applyAlignment="1">
      <alignment horizontal="right" vertical="center"/>
    </xf>
    <xf numFmtId="0" fontId="0" fillId="6" borderId="2" xfId="0" applyFill="1" applyBorder="1" applyAlignment="1">
      <alignment horizontal="center" vertical="center"/>
    </xf>
    <xf numFmtId="0" fontId="4" fillId="6" borderId="2" xfId="1" applyFill="1" applyBorder="1" applyAlignment="1">
      <alignment horizontal="center" vertical="center"/>
    </xf>
    <xf numFmtId="0" fontId="0" fillId="7" borderId="32" xfId="0" applyFill="1" applyBorder="1">
      <alignment vertical="center"/>
    </xf>
    <xf numFmtId="0" fontId="0" fillId="7" borderId="33" xfId="0" applyFill="1" applyBorder="1">
      <alignment vertical="center"/>
    </xf>
    <xf numFmtId="0" fontId="0" fillId="7" borderId="34" xfId="0" applyFill="1" applyBorder="1" applyAlignment="1">
      <alignment horizontal="right" vertical="center"/>
    </xf>
    <xf numFmtId="0" fontId="0" fillId="6" borderId="2" xfId="0" applyFill="1" applyBorder="1">
      <alignment vertical="center"/>
    </xf>
    <xf numFmtId="0" fontId="0" fillId="6" borderId="33" xfId="0" applyFill="1" applyBorder="1" applyAlignment="1">
      <alignment horizontal="center" vertical="center"/>
    </xf>
    <xf numFmtId="0" fontId="2" fillId="6" borderId="34" xfId="0" applyFont="1" applyFill="1" applyBorder="1" applyAlignment="1">
      <alignment horizontal="right" vertical="center"/>
    </xf>
    <xf numFmtId="38" fontId="10" fillId="0" borderId="41" xfId="2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2" xfId="3" applyFont="1" applyBorder="1" applyAlignment="1">
      <alignment horizontal="center" vertical="center"/>
    </xf>
    <xf numFmtId="38" fontId="10" fillId="0" borderId="43" xfId="2" applyFont="1" applyBorder="1" applyAlignment="1">
      <alignment horizontal="center" vertical="center"/>
    </xf>
    <xf numFmtId="38" fontId="10" fillId="0" borderId="44" xfId="2" applyFont="1" applyBorder="1" applyAlignment="1">
      <alignment horizontal="center" vertical="center"/>
    </xf>
    <xf numFmtId="0" fontId="0" fillId="8" borderId="32" xfId="0" applyFill="1" applyBorder="1">
      <alignment vertical="center"/>
    </xf>
    <xf numFmtId="0" fontId="0" fillId="8" borderId="33" xfId="0" applyFill="1" applyBorder="1">
      <alignment vertical="center"/>
    </xf>
    <xf numFmtId="0" fontId="0" fillId="8" borderId="34" xfId="0" applyFill="1" applyBorder="1" applyAlignment="1">
      <alignment horizontal="right" vertical="center"/>
    </xf>
    <xf numFmtId="0" fontId="0" fillId="9" borderId="2" xfId="0" applyFill="1" applyBorder="1" applyAlignment="1">
      <alignment horizontal="center" vertical="center"/>
    </xf>
    <xf numFmtId="0" fontId="0" fillId="9" borderId="32" xfId="0" applyFill="1" applyBorder="1">
      <alignment vertical="center"/>
    </xf>
    <xf numFmtId="0" fontId="0" fillId="9" borderId="33" xfId="0" applyFill="1" applyBorder="1">
      <alignment vertical="center"/>
    </xf>
    <xf numFmtId="0" fontId="2" fillId="9" borderId="34" xfId="0" applyFont="1" applyFill="1" applyBorder="1" applyAlignment="1">
      <alignment horizontal="right" vertical="center"/>
    </xf>
    <xf numFmtId="38" fontId="10" fillId="0" borderId="45" xfId="2" applyFont="1" applyBorder="1" applyAlignment="1">
      <alignment horizontal="center" vertical="center"/>
    </xf>
    <xf numFmtId="38" fontId="10" fillId="0" borderId="46" xfId="2" applyFont="1" applyBorder="1" applyAlignment="1">
      <alignment horizontal="center" vertical="center"/>
    </xf>
    <xf numFmtId="38" fontId="10" fillId="0" borderId="47" xfId="2" applyFont="1" applyBorder="1" applyAlignment="1">
      <alignment horizontal="center" vertical="center"/>
    </xf>
    <xf numFmtId="0" fontId="0" fillId="9" borderId="34" xfId="0" applyFill="1" applyBorder="1" applyAlignment="1">
      <alignment horizontal="right" vertical="center"/>
    </xf>
    <xf numFmtId="0" fontId="0" fillId="9" borderId="33" xfId="0" applyFill="1" applyBorder="1" applyAlignment="1">
      <alignment horizontal="center" vertical="center"/>
    </xf>
    <xf numFmtId="0" fontId="0" fillId="9" borderId="34" xfId="0" applyFill="1" applyBorder="1" applyAlignment="1">
      <alignment horizontal="right"/>
    </xf>
    <xf numFmtId="0" fontId="0" fillId="10" borderId="32" xfId="0" applyFill="1" applyBorder="1">
      <alignment vertical="center"/>
    </xf>
    <xf numFmtId="0" fontId="0" fillId="10" borderId="33" xfId="0" applyFill="1" applyBorder="1">
      <alignment vertical="center"/>
    </xf>
    <xf numFmtId="0" fontId="0" fillId="10" borderId="34" xfId="0" applyFill="1" applyBorder="1" applyAlignment="1">
      <alignment horizontal="right" vertical="center"/>
    </xf>
    <xf numFmtId="0" fontId="0" fillId="11" borderId="2" xfId="0" applyFill="1" applyBorder="1" applyAlignment="1">
      <alignment horizontal="center" vertical="center"/>
    </xf>
    <xf numFmtId="0" fontId="0" fillId="5" borderId="48" xfId="0" applyFill="1" applyBorder="1">
      <alignment vertical="center"/>
    </xf>
    <xf numFmtId="0" fontId="0" fillId="5" borderId="0" xfId="0" applyFill="1">
      <alignment vertical="center"/>
    </xf>
    <xf numFmtId="0" fontId="0" fillId="5" borderId="49" xfId="0" applyFill="1" applyBorder="1" applyAlignment="1">
      <alignment horizontal="right" vertical="center"/>
    </xf>
    <xf numFmtId="0" fontId="0" fillId="0" borderId="48" xfId="0" applyBorder="1">
      <alignment vertical="center"/>
    </xf>
    <xf numFmtId="0" fontId="0" fillId="0" borderId="49" xfId="0" applyBorder="1" applyAlignment="1">
      <alignment horizontal="right" vertical="center"/>
    </xf>
    <xf numFmtId="0" fontId="0" fillId="5" borderId="2" xfId="0" applyFill="1" applyBorder="1">
      <alignment vertical="center"/>
    </xf>
    <xf numFmtId="0" fontId="0" fillId="5" borderId="2" xfId="0" applyFill="1" applyBorder="1" applyAlignment="1">
      <alignment horizontal="right" vertical="center"/>
    </xf>
    <xf numFmtId="0" fontId="0" fillId="11" borderId="32" xfId="0" applyFill="1" applyBorder="1">
      <alignment vertical="center"/>
    </xf>
    <xf numFmtId="0" fontId="0" fillId="11" borderId="33" xfId="0" applyFill="1" applyBorder="1">
      <alignment vertical="center"/>
    </xf>
    <xf numFmtId="0" fontId="0" fillId="11" borderId="34" xfId="0" applyFill="1" applyBorder="1" applyAlignment="1">
      <alignment horizontal="right" vertical="center"/>
    </xf>
    <xf numFmtId="0" fontId="0" fillId="8" borderId="2" xfId="0" applyFill="1" applyBorder="1">
      <alignment vertical="center"/>
    </xf>
    <xf numFmtId="0" fontId="0" fillId="8" borderId="2" xfId="0" applyFill="1" applyBorder="1" applyAlignment="1">
      <alignment horizontal="right" vertical="center"/>
    </xf>
    <xf numFmtId="56" fontId="0" fillId="9" borderId="2" xfId="0" applyNumberFormat="1" applyFill="1" applyBorder="1">
      <alignment vertical="center"/>
    </xf>
    <xf numFmtId="0" fontId="0" fillId="10" borderId="33" xfId="0" applyFill="1" applyBorder="1" applyAlignment="1">
      <alignment horizontal="center" vertical="center"/>
    </xf>
    <xf numFmtId="0" fontId="2" fillId="10" borderId="34" xfId="0" applyFont="1" applyFill="1" applyBorder="1" applyAlignment="1">
      <alignment horizontal="right" vertical="center"/>
    </xf>
    <xf numFmtId="56" fontId="0" fillId="0" borderId="0" xfId="0" applyNumberFormat="1" applyAlignment="1">
      <alignment horizontal="right" vertical="center"/>
    </xf>
    <xf numFmtId="0" fontId="2" fillId="0" borderId="49" xfId="0" applyFont="1" applyBorder="1" applyAlignment="1">
      <alignment horizontal="right" vertical="center"/>
    </xf>
    <xf numFmtId="0" fontId="2" fillId="5" borderId="2" xfId="0" applyFont="1" applyFill="1" applyBorder="1" applyAlignment="1">
      <alignment horizontal="right" vertical="center"/>
    </xf>
    <xf numFmtId="0" fontId="0" fillId="9" borderId="2" xfId="0" applyFill="1" applyBorder="1">
      <alignment vertical="center"/>
    </xf>
    <xf numFmtId="0" fontId="11" fillId="0" borderId="0" xfId="0" applyFont="1" applyAlignment="1">
      <alignment horizontal="center" vertical="center"/>
    </xf>
    <xf numFmtId="0" fontId="4" fillId="2" borderId="0" xfId="1" applyAlignment="1">
      <alignment horizontal="center" vertical="center" shrinkToFit="1"/>
    </xf>
    <xf numFmtId="0" fontId="0" fillId="8" borderId="34" xfId="0" applyFill="1" applyBorder="1" applyAlignment="1">
      <alignment horizontal="right"/>
    </xf>
  </cellXfs>
  <cellStyles count="4">
    <cellStyle name="悪い" xfId="1" builtinId="27"/>
    <cellStyle name="桁区切り" xfId="2" builtinId="6"/>
    <cellStyle name="標準" xfId="0" builtinId="0"/>
    <cellStyle name="標準 2" xfId="3" xr:uid="{0FE52B87-F43B-4838-B916-B5B2AFCC0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44D-E312-42AC-BC16-1BCD68EA0AF4}">
  <sheetPr>
    <tabColor rgb="FFFFFF00"/>
  </sheetPr>
  <dimension ref="A1:K49"/>
  <sheetViews>
    <sheetView view="pageBreakPreview" topLeftCell="A3" zoomScaleNormal="100" zoomScaleSheetLayoutView="100" workbookViewId="0">
      <selection activeCell="C4" sqref="C4"/>
    </sheetView>
  </sheetViews>
  <sheetFormatPr defaultRowHeight="18.75"/>
  <cols>
    <col min="1" max="1" width="11.875" customWidth="1"/>
    <col min="2" max="2" width="29.875" customWidth="1"/>
    <col min="3" max="3" width="14.25" customWidth="1"/>
    <col min="4" max="4" width="15.25" hidden="1" customWidth="1"/>
    <col min="5" max="5" width="20.625" customWidth="1"/>
    <col min="6" max="6" width="14.875" customWidth="1"/>
    <col min="7" max="7" width="13.125" customWidth="1"/>
  </cols>
  <sheetData>
    <row r="1" spans="1:11" ht="30">
      <c r="A1" s="161" t="s">
        <v>391</v>
      </c>
      <c r="B1" s="161"/>
      <c r="C1" s="161"/>
      <c r="D1" s="161"/>
      <c r="E1" s="161"/>
      <c r="F1" s="105"/>
      <c r="G1" s="105"/>
      <c r="K1" s="49"/>
    </row>
    <row r="2" spans="1:11" ht="11.25" customHeight="1"/>
    <row r="3" spans="1:11" ht="18.75" customHeight="1">
      <c r="A3" s="104"/>
      <c r="B3" s="106" t="s">
        <v>485</v>
      </c>
      <c r="C3" s="104">
        <v>5</v>
      </c>
      <c r="D3" s="104"/>
      <c r="E3" s="105" t="s">
        <v>437</v>
      </c>
      <c r="F3" s="105"/>
      <c r="G3" s="105"/>
      <c r="K3" s="49"/>
    </row>
    <row r="4" spans="1:11" ht="19.5" thickBot="1"/>
    <row r="5" spans="1:11" ht="48.75" thickBot="1">
      <c r="A5" s="45" t="s">
        <v>368</v>
      </c>
      <c r="B5" s="46" t="s">
        <v>302</v>
      </c>
      <c r="C5" s="107" t="s">
        <v>438</v>
      </c>
      <c r="D5" s="46" t="s">
        <v>369</v>
      </c>
      <c r="E5" s="47" t="s">
        <v>370</v>
      </c>
      <c r="F5" s="47" t="s">
        <v>390</v>
      </c>
      <c r="G5" s="48" t="s">
        <v>387</v>
      </c>
    </row>
    <row r="6" spans="1:11" ht="20.25" customHeight="1">
      <c r="A6" s="22" t="s">
        <v>397</v>
      </c>
      <c r="B6" s="23" t="s">
        <v>371</v>
      </c>
      <c r="C6" s="24">
        <v>5</v>
      </c>
      <c r="D6" s="23" t="s">
        <v>243</v>
      </c>
      <c r="E6" s="25">
        <v>2350</v>
      </c>
      <c r="F6" s="25">
        <f>COUNTIF('個人明細　入力用'!H:H,A6)</f>
        <v>3</v>
      </c>
      <c r="G6" s="26">
        <f t="shared" ref="G6:G48" si="0">E6*F6</f>
        <v>7050</v>
      </c>
    </row>
    <row r="7" spans="1:11" ht="20.25" customHeight="1">
      <c r="A7" s="27" t="s">
        <v>407</v>
      </c>
      <c r="B7" s="19" t="s">
        <v>371</v>
      </c>
      <c r="C7" s="20">
        <v>3</v>
      </c>
      <c r="D7" s="19" t="s">
        <v>372</v>
      </c>
      <c r="E7" s="21">
        <v>2250</v>
      </c>
      <c r="F7" s="21">
        <f>COUNTIF('個人明細　入力用'!H:H,A7)</f>
        <v>1</v>
      </c>
      <c r="G7" s="28">
        <f t="shared" ref="G7:G14" si="1">E7*F7</f>
        <v>2250</v>
      </c>
    </row>
    <row r="8" spans="1:11" ht="20.25" customHeight="1">
      <c r="A8" s="27" t="s">
        <v>367</v>
      </c>
      <c r="B8" s="19" t="s">
        <v>385</v>
      </c>
      <c r="C8" s="20">
        <v>5</v>
      </c>
      <c r="D8" s="19" t="s">
        <v>243</v>
      </c>
      <c r="E8" s="21">
        <v>1550</v>
      </c>
      <c r="F8" s="21">
        <f>COUNTIF('個人明細　入力用'!H:H,A8)</f>
        <v>1</v>
      </c>
      <c r="G8" s="28">
        <f t="shared" si="1"/>
        <v>1550</v>
      </c>
    </row>
    <row r="9" spans="1:11" ht="20.25" customHeight="1">
      <c r="A9" s="27" t="s">
        <v>408</v>
      </c>
      <c r="B9" s="19" t="s">
        <v>385</v>
      </c>
      <c r="C9" s="20">
        <v>3</v>
      </c>
      <c r="D9" s="19" t="s">
        <v>372</v>
      </c>
      <c r="E9" s="21">
        <v>930</v>
      </c>
      <c r="F9" s="21">
        <f>COUNTIF('個人明細　入力用'!H:H,A9)</f>
        <v>0</v>
      </c>
      <c r="G9" s="28">
        <f t="shared" si="1"/>
        <v>0</v>
      </c>
    </row>
    <row r="10" spans="1:11" ht="20.25" customHeight="1">
      <c r="A10" s="27" t="s">
        <v>366</v>
      </c>
      <c r="B10" s="19" t="s">
        <v>386</v>
      </c>
      <c r="C10" s="20">
        <v>5</v>
      </c>
      <c r="D10" s="19" t="s">
        <v>243</v>
      </c>
      <c r="E10" s="21">
        <v>1500</v>
      </c>
      <c r="F10" s="21">
        <f>COUNTIF('個人明細　入力用'!H:H,A10)</f>
        <v>0</v>
      </c>
      <c r="G10" s="28">
        <f t="shared" si="1"/>
        <v>0</v>
      </c>
    </row>
    <row r="11" spans="1:11" ht="20.25" customHeight="1">
      <c r="A11" s="27" t="s">
        <v>409</v>
      </c>
      <c r="B11" s="19" t="s">
        <v>386</v>
      </c>
      <c r="C11" s="20">
        <v>3</v>
      </c>
      <c r="D11" s="19" t="s">
        <v>372</v>
      </c>
      <c r="E11" s="21">
        <v>1140</v>
      </c>
      <c r="F11" s="21">
        <f>COUNTIF('個人明細　入力用'!H:H,A11)</f>
        <v>0</v>
      </c>
      <c r="G11" s="28">
        <f t="shared" si="1"/>
        <v>0</v>
      </c>
    </row>
    <row r="12" spans="1:11" ht="20.25" customHeight="1">
      <c r="A12" s="120" t="s">
        <v>452</v>
      </c>
      <c r="B12" s="19" t="s">
        <v>385</v>
      </c>
      <c r="C12" s="122">
        <v>4</v>
      </c>
      <c r="D12" s="121"/>
      <c r="E12" s="123">
        <v>1310</v>
      </c>
      <c r="F12" s="123">
        <f>COUNTIF('個人明細　入力用'!H:H,A12)</f>
        <v>0</v>
      </c>
      <c r="G12" s="124">
        <f t="shared" si="1"/>
        <v>0</v>
      </c>
    </row>
    <row r="13" spans="1:11" ht="20.25" customHeight="1">
      <c r="A13" s="120" t="s">
        <v>453</v>
      </c>
      <c r="B13" s="19" t="s">
        <v>386</v>
      </c>
      <c r="C13" s="122">
        <v>4</v>
      </c>
      <c r="D13" s="121"/>
      <c r="E13" s="123">
        <v>1300</v>
      </c>
      <c r="F13" s="123">
        <f>COUNTIF('個人明細　入力用'!H:H,A13)</f>
        <v>0</v>
      </c>
      <c r="G13" s="124">
        <f t="shared" si="1"/>
        <v>0</v>
      </c>
    </row>
    <row r="14" spans="1:11" ht="20.25" customHeight="1" thickBot="1">
      <c r="A14" s="120" t="s">
        <v>454</v>
      </c>
      <c r="B14" s="121" t="s">
        <v>371</v>
      </c>
      <c r="C14" s="122">
        <v>4</v>
      </c>
      <c r="D14" s="121"/>
      <c r="E14" s="123">
        <v>2250</v>
      </c>
      <c r="F14" s="123">
        <f>COUNTIF('個人明細　入力用'!H:H,A14)</f>
        <v>0</v>
      </c>
      <c r="G14" s="124">
        <f t="shared" si="1"/>
        <v>0</v>
      </c>
    </row>
    <row r="15" spans="1:11" ht="20.25" customHeight="1">
      <c r="A15" s="22" t="s">
        <v>398</v>
      </c>
      <c r="B15" s="23" t="s">
        <v>373</v>
      </c>
      <c r="C15" s="24">
        <v>5</v>
      </c>
      <c r="D15" s="23" t="s">
        <v>243</v>
      </c>
      <c r="E15" s="25">
        <v>2170</v>
      </c>
      <c r="F15" s="25">
        <f>COUNTIF('個人明細　入力用'!H:H,A15)</f>
        <v>21</v>
      </c>
      <c r="G15" s="26">
        <f t="shared" si="0"/>
        <v>45570</v>
      </c>
    </row>
    <row r="16" spans="1:11" ht="20.25" customHeight="1">
      <c r="A16" s="27" t="s">
        <v>410</v>
      </c>
      <c r="B16" s="19" t="s">
        <v>373</v>
      </c>
      <c r="C16" s="20">
        <v>4</v>
      </c>
      <c r="D16" s="19" t="s">
        <v>244</v>
      </c>
      <c r="E16" s="21">
        <v>2060</v>
      </c>
      <c r="F16" s="21">
        <f>COUNTIF('個人明細　入力用'!H:H,A16)</f>
        <v>5</v>
      </c>
      <c r="G16" s="28">
        <f t="shared" si="0"/>
        <v>10300</v>
      </c>
    </row>
    <row r="17" spans="1:7" ht="20.25" customHeight="1" thickBot="1">
      <c r="A17" s="29" t="s">
        <v>411</v>
      </c>
      <c r="B17" s="30" t="s">
        <v>373</v>
      </c>
      <c r="C17" s="31">
        <v>3</v>
      </c>
      <c r="D17" s="30" t="s">
        <v>244</v>
      </c>
      <c r="E17" s="32">
        <v>1980</v>
      </c>
      <c r="F17" s="32">
        <f>COUNTIF('個人明細　入力用'!H:H,A17)</f>
        <v>1</v>
      </c>
      <c r="G17" s="33">
        <f t="shared" si="0"/>
        <v>1980</v>
      </c>
    </row>
    <row r="18" spans="1:7" ht="20.25" customHeight="1">
      <c r="A18" s="22" t="s">
        <v>399</v>
      </c>
      <c r="B18" s="23" t="s">
        <v>374</v>
      </c>
      <c r="C18" s="24">
        <v>5</v>
      </c>
      <c r="D18" s="23" t="s">
        <v>243</v>
      </c>
      <c r="E18" s="25">
        <v>2000</v>
      </c>
      <c r="F18" s="25">
        <f>COUNTIF('個人明細　入力用'!H:H,A18)</f>
        <v>3</v>
      </c>
      <c r="G18" s="26">
        <f t="shared" si="0"/>
        <v>6000</v>
      </c>
    </row>
    <row r="19" spans="1:7" ht="20.25" customHeight="1" thickBot="1">
      <c r="A19" s="29" t="s">
        <v>412</v>
      </c>
      <c r="B19" s="30" t="s">
        <v>374</v>
      </c>
      <c r="C19" s="31">
        <v>4</v>
      </c>
      <c r="D19" s="30" t="s">
        <v>244</v>
      </c>
      <c r="E19" s="32">
        <v>1890</v>
      </c>
      <c r="F19" s="32">
        <f>COUNTIF('個人明細　入力用'!H:H,A19)</f>
        <v>2</v>
      </c>
      <c r="G19" s="33">
        <f t="shared" si="0"/>
        <v>3780</v>
      </c>
    </row>
    <row r="20" spans="1:7" ht="20.25" customHeight="1">
      <c r="A20" s="22" t="s">
        <v>413</v>
      </c>
      <c r="B20" s="23" t="s">
        <v>375</v>
      </c>
      <c r="C20" s="24">
        <v>5</v>
      </c>
      <c r="D20" s="23" t="s">
        <v>243</v>
      </c>
      <c r="E20" s="25">
        <v>2090</v>
      </c>
      <c r="F20" s="25">
        <f>COUNTIF('個人明細　入力用'!H:H,A20)</f>
        <v>7</v>
      </c>
      <c r="G20" s="26">
        <f t="shared" si="0"/>
        <v>14630</v>
      </c>
    </row>
    <row r="21" spans="1:7" ht="20.25" customHeight="1" thickBot="1">
      <c r="A21" s="29" t="s">
        <v>414</v>
      </c>
      <c r="B21" s="30" t="s">
        <v>375</v>
      </c>
      <c r="C21" s="31">
        <v>4</v>
      </c>
      <c r="D21" s="30" t="s">
        <v>244</v>
      </c>
      <c r="E21" s="32">
        <v>1890</v>
      </c>
      <c r="F21" s="32">
        <f>COUNTIF('個人明細　入力用'!H:H,A21)</f>
        <v>2</v>
      </c>
      <c r="G21" s="33">
        <f t="shared" si="0"/>
        <v>3780</v>
      </c>
    </row>
    <row r="22" spans="1:7" ht="20.25" customHeight="1">
      <c r="A22" s="22" t="s">
        <v>415</v>
      </c>
      <c r="B22" s="23" t="s">
        <v>376</v>
      </c>
      <c r="C22" s="24">
        <v>5</v>
      </c>
      <c r="D22" s="23" t="s">
        <v>243</v>
      </c>
      <c r="E22" s="25">
        <v>2080</v>
      </c>
      <c r="F22" s="25">
        <f>COUNTIF('個人明細　入力用'!H:H,A22)</f>
        <v>3</v>
      </c>
      <c r="G22" s="26">
        <f t="shared" si="0"/>
        <v>6240</v>
      </c>
    </row>
    <row r="23" spans="1:7" ht="20.25" customHeight="1">
      <c r="A23" s="27" t="s">
        <v>416</v>
      </c>
      <c r="B23" s="19" t="s">
        <v>377</v>
      </c>
      <c r="C23" s="20">
        <v>5</v>
      </c>
      <c r="D23" s="19" t="s">
        <v>243</v>
      </c>
      <c r="E23" s="21">
        <v>2080</v>
      </c>
      <c r="F23" s="21">
        <f>COUNTIF('個人明細　入力用'!H:H,A23)</f>
        <v>1</v>
      </c>
      <c r="G23" s="28">
        <f t="shared" si="0"/>
        <v>2080</v>
      </c>
    </row>
    <row r="24" spans="1:7" ht="20.25" customHeight="1">
      <c r="A24" s="27" t="s">
        <v>417</v>
      </c>
      <c r="B24" s="19" t="s">
        <v>376</v>
      </c>
      <c r="C24" s="20">
        <v>4</v>
      </c>
      <c r="D24" s="19" t="s">
        <v>244</v>
      </c>
      <c r="E24" s="21">
        <v>1890</v>
      </c>
      <c r="F24" s="21">
        <f>COUNTIF('個人明細　入力用'!H:H,A24)</f>
        <v>0</v>
      </c>
      <c r="G24" s="28">
        <f t="shared" si="0"/>
        <v>0</v>
      </c>
    </row>
    <row r="25" spans="1:7" ht="20.25" customHeight="1" thickBot="1">
      <c r="A25" s="29" t="s">
        <v>418</v>
      </c>
      <c r="B25" s="30" t="s">
        <v>377</v>
      </c>
      <c r="C25" s="31">
        <v>4</v>
      </c>
      <c r="D25" s="30" t="s">
        <v>244</v>
      </c>
      <c r="E25" s="32">
        <v>1890</v>
      </c>
      <c r="F25" s="32">
        <f>COUNTIF('個人明細　入力用'!H:H,A25)</f>
        <v>0</v>
      </c>
      <c r="G25" s="33">
        <f t="shared" si="0"/>
        <v>0</v>
      </c>
    </row>
    <row r="26" spans="1:7" ht="20.25" customHeight="1">
      <c r="A26" s="22" t="s">
        <v>419</v>
      </c>
      <c r="B26" s="23" t="s">
        <v>319</v>
      </c>
      <c r="C26" s="24">
        <v>5</v>
      </c>
      <c r="D26" s="23" t="s">
        <v>243</v>
      </c>
      <c r="E26" s="25">
        <v>2040</v>
      </c>
      <c r="F26" s="25">
        <f>COUNTIF('個人明細　入力用'!H:H,A26)</f>
        <v>1</v>
      </c>
      <c r="G26" s="26">
        <f t="shared" si="0"/>
        <v>2040</v>
      </c>
    </row>
    <row r="27" spans="1:7" ht="20.25" customHeight="1">
      <c r="A27" s="27" t="s">
        <v>420</v>
      </c>
      <c r="B27" s="19" t="s">
        <v>318</v>
      </c>
      <c r="C27" s="20">
        <v>5</v>
      </c>
      <c r="D27" s="19" t="s">
        <v>243</v>
      </c>
      <c r="E27" s="21">
        <v>2120</v>
      </c>
      <c r="F27" s="21">
        <f>COUNTIF('個人明細　入力用'!H:H,A27)</f>
        <v>2</v>
      </c>
      <c r="G27" s="28">
        <f t="shared" si="0"/>
        <v>4240</v>
      </c>
    </row>
    <row r="28" spans="1:7" ht="20.25" customHeight="1">
      <c r="A28" s="27" t="s">
        <v>421</v>
      </c>
      <c r="B28" s="19" t="s">
        <v>319</v>
      </c>
      <c r="C28" s="20">
        <v>4</v>
      </c>
      <c r="D28" s="19" t="s">
        <v>244</v>
      </c>
      <c r="E28" s="21">
        <v>1850</v>
      </c>
      <c r="F28" s="21">
        <f>COUNTIF('個人明細　入力用'!H:H,A28)</f>
        <v>0</v>
      </c>
      <c r="G28" s="28">
        <f t="shared" si="0"/>
        <v>0</v>
      </c>
    </row>
    <row r="29" spans="1:7" ht="20.25" customHeight="1" thickBot="1">
      <c r="A29" s="29" t="s">
        <v>422</v>
      </c>
      <c r="B29" s="30" t="s">
        <v>318</v>
      </c>
      <c r="C29" s="31">
        <v>4</v>
      </c>
      <c r="D29" s="30" t="s">
        <v>244</v>
      </c>
      <c r="E29" s="32">
        <v>1920</v>
      </c>
      <c r="F29" s="32">
        <f>COUNTIF('個人明細　入力用'!H:H,A29)</f>
        <v>0</v>
      </c>
      <c r="G29" s="33">
        <f t="shared" si="0"/>
        <v>0</v>
      </c>
    </row>
    <row r="30" spans="1:7" ht="20.25" customHeight="1">
      <c r="A30" s="22" t="s">
        <v>423</v>
      </c>
      <c r="B30" s="23" t="s">
        <v>378</v>
      </c>
      <c r="C30" s="24">
        <v>5</v>
      </c>
      <c r="D30" s="23" t="s">
        <v>243</v>
      </c>
      <c r="E30" s="25">
        <v>2060</v>
      </c>
      <c r="F30" s="25">
        <f>COUNTIF('個人明細　入力用'!H:H,A30)</f>
        <v>1</v>
      </c>
      <c r="G30" s="26">
        <f t="shared" si="0"/>
        <v>2060</v>
      </c>
    </row>
    <row r="31" spans="1:7" ht="20.25" customHeight="1" thickBot="1">
      <c r="A31" s="29" t="s">
        <v>424</v>
      </c>
      <c r="B31" s="30" t="s">
        <v>378</v>
      </c>
      <c r="C31" s="31">
        <v>4</v>
      </c>
      <c r="D31" s="30" t="s">
        <v>244</v>
      </c>
      <c r="E31" s="32">
        <v>1880</v>
      </c>
      <c r="F31" s="32">
        <f>COUNTIF('個人明細　入力用'!H:H,A31)</f>
        <v>2</v>
      </c>
      <c r="G31" s="33">
        <f t="shared" si="0"/>
        <v>3760</v>
      </c>
    </row>
    <row r="32" spans="1:7" ht="72" customHeight="1">
      <c r="A32" s="22" t="s">
        <v>425</v>
      </c>
      <c r="B32" s="34" t="s">
        <v>379</v>
      </c>
      <c r="C32" s="24">
        <v>5</v>
      </c>
      <c r="D32" s="23" t="s">
        <v>243</v>
      </c>
      <c r="E32" s="25">
        <v>2000</v>
      </c>
      <c r="F32" s="25">
        <f>COUNTIF('個人明細　入力用'!H:H,A32)</f>
        <v>2</v>
      </c>
      <c r="G32" s="26">
        <f t="shared" si="0"/>
        <v>4000</v>
      </c>
    </row>
    <row r="33" spans="1:7" ht="72" customHeight="1" thickBot="1">
      <c r="A33" s="29" t="s">
        <v>426</v>
      </c>
      <c r="B33" s="35" t="s">
        <v>379</v>
      </c>
      <c r="C33" s="31">
        <v>4</v>
      </c>
      <c r="D33" s="30" t="s">
        <v>244</v>
      </c>
      <c r="E33" s="32">
        <v>1910</v>
      </c>
      <c r="F33" s="32">
        <f>COUNTIF('個人明細　入力用'!H:H,A33)</f>
        <v>7</v>
      </c>
      <c r="G33" s="33">
        <f t="shared" si="0"/>
        <v>13370</v>
      </c>
    </row>
    <row r="34" spans="1:7" ht="20.25" customHeight="1" thickBot="1">
      <c r="A34" s="36" t="s">
        <v>427</v>
      </c>
      <c r="B34" s="37" t="s">
        <v>380</v>
      </c>
      <c r="C34" s="38">
        <v>3</v>
      </c>
      <c r="D34" s="37" t="s">
        <v>243</v>
      </c>
      <c r="E34" s="39">
        <v>2570</v>
      </c>
      <c r="F34" s="39">
        <f>COUNTIF('個人明細　入力用'!H:H,A34)</f>
        <v>2</v>
      </c>
      <c r="G34" s="40">
        <f t="shared" si="0"/>
        <v>5140</v>
      </c>
    </row>
    <row r="35" spans="1:7" ht="20.25" customHeight="1">
      <c r="A35" s="22" t="s">
        <v>428</v>
      </c>
      <c r="B35" s="34" t="s">
        <v>381</v>
      </c>
      <c r="C35" s="24">
        <v>3</v>
      </c>
      <c r="D35" s="23" t="s">
        <v>243</v>
      </c>
      <c r="E35" s="25">
        <v>2680</v>
      </c>
      <c r="F35" s="25">
        <f>COUNTIF('個人明細　入力用'!H:H,A35)</f>
        <v>16</v>
      </c>
      <c r="G35" s="26">
        <f t="shared" si="0"/>
        <v>42880</v>
      </c>
    </row>
    <row r="36" spans="1:7" ht="20.25" customHeight="1" thickBot="1">
      <c r="A36" s="29" t="s">
        <v>429</v>
      </c>
      <c r="B36" s="35" t="s">
        <v>381</v>
      </c>
      <c r="C36" s="31">
        <v>2</v>
      </c>
      <c r="D36" s="30" t="s">
        <v>244</v>
      </c>
      <c r="E36" s="32">
        <v>2200</v>
      </c>
      <c r="F36" s="32">
        <f>COUNTIF('個人明細　入力用'!H:H,A36)</f>
        <v>0</v>
      </c>
      <c r="G36" s="33">
        <f t="shared" si="0"/>
        <v>0</v>
      </c>
    </row>
    <row r="37" spans="1:7" ht="20.25" customHeight="1">
      <c r="A37" s="22" t="s">
        <v>430</v>
      </c>
      <c r="B37" s="23" t="s">
        <v>382</v>
      </c>
      <c r="C37" s="24">
        <v>4</v>
      </c>
      <c r="D37" s="23" t="s">
        <v>243</v>
      </c>
      <c r="E37" s="25">
        <v>2060</v>
      </c>
      <c r="F37" s="25">
        <f>COUNTIF('個人明細　入力用'!H:H,A37)</f>
        <v>2</v>
      </c>
      <c r="G37" s="26">
        <f t="shared" si="0"/>
        <v>4120</v>
      </c>
    </row>
    <row r="38" spans="1:7" ht="20.25" customHeight="1" thickBot="1">
      <c r="A38" s="29" t="s">
        <v>431</v>
      </c>
      <c r="B38" s="30" t="s">
        <v>382</v>
      </c>
      <c r="C38" s="31">
        <v>3</v>
      </c>
      <c r="D38" s="30" t="s">
        <v>244</v>
      </c>
      <c r="E38" s="32">
        <v>1830</v>
      </c>
      <c r="F38" s="32">
        <f>COUNTIF('個人明細　入力用'!H:H,A38)</f>
        <v>0</v>
      </c>
      <c r="G38" s="33">
        <f t="shared" si="0"/>
        <v>0</v>
      </c>
    </row>
    <row r="39" spans="1:7" ht="20.25" customHeight="1">
      <c r="A39" s="22" t="s">
        <v>400</v>
      </c>
      <c r="B39" s="23" t="s">
        <v>316</v>
      </c>
      <c r="C39" s="24">
        <v>4</v>
      </c>
      <c r="D39" s="23" t="s">
        <v>243</v>
      </c>
      <c r="E39" s="25">
        <v>2060</v>
      </c>
      <c r="F39" s="25">
        <f>COUNTIF('個人明細　入力用'!H:H,A39)</f>
        <v>9</v>
      </c>
      <c r="G39" s="26">
        <f t="shared" si="0"/>
        <v>18540</v>
      </c>
    </row>
    <row r="40" spans="1:7" ht="20.25" customHeight="1" thickBot="1">
      <c r="A40" s="29" t="s">
        <v>401</v>
      </c>
      <c r="B40" s="30" t="s">
        <v>316</v>
      </c>
      <c r="C40" s="31">
        <v>3</v>
      </c>
      <c r="D40" s="30" t="s">
        <v>244</v>
      </c>
      <c r="E40" s="32">
        <v>1830</v>
      </c>
      <c r="F40" s="32">
        <f>COUNTIF('個人明細　入力用'!H:H,A40)</f>
        <v>6</v>
      </c>
      <c r="G40" s="33">
        <f t="shared" si="0"/>
        <v>10980</v>
      </c>
    </row>
    <row r="41" spans="1:7" ht="20.25" customHeight="1">
      <c r="A41" s="22" t="s">
        <v>402</v>
      </c>
      <c r="B41" s="23" t="s">
        <v>393</v>
      </c>
      <c r="C41" s="24">
        <v>4</v>
      </c>
      <c r="D41" s="23" t="s">
        <v>243</v>
      </c>
      <c r="E41" s="25">
        <v>1800</v>
      </c>
      <c r="F41" s="25">
        <f>COUNTIF('個人明細　入力用'!H:H,A41)</f>
        <v>5</v>
      </c>
      <c r="G41" s="26">
        <f t="shared" si="0"/>
        <v>9000</v>
      </c>
    </row>
    <row r="42" spans="1:7" ht="20.25" customHeight="1" thickBot="1">
      <c r="A42" s="29" t="s">
        <v>403</v>
      </c>
      <c r="B42" s="30" t="s">
        <v>393</v>
      </c>
      <c r="C42" s="31">
        <v>3</v>
      </c>
      <c r="D42" s="30" t="s">
        <v>244</v>
      </c>
      <c r="E42" s="32">
        <v>1630</v>
      </c>
      <c r="F42" s="32">
        <f>COUNTIF('個人明細　入力用'!H:H,A42)</f>
        <v>3</v>
      </c>
      <c r="G42" s="33">
        <f t="shared" si="0"/>
        <v>4890</v>
      </c>
    </row>
    <row r="43" spans="1:7" ht="20.25" customHeight="1">
      <c r="A43" s="22" t="s">
        <v>404</v>
      </c>
      <c r="B43" s="23" t="s">
        <v>317</v>
      </c>
      <c r="C43" s="24">
        <v>4</v>
      </c>
      <c r="D43" s="23" t="s">
        <v>243</v>
      </c>
      <c r="E43" s="25">
        <v>2840</v>
      </c>
      <c r="F43" s="25">
        <f>COUNTIF('個人明細　入力用'!H:H,A43)</f>
        <v>4</v>
      </c>
      <c r="G43" s="26">
        <f t="shared" si="0"/>
        <v>11360</v>
      </c>
    </row>
    <row r="44" spans="1:7" ht="20.25" customHeight="1" thickBot="1">
      <c r="A44" s="29" t="s">
        <v>405</v>
      </c>
      <c r="B44" s="30" t="s">
        <v>317</v>
      </c>
      <c r="C44" s="31">
        <v>3</v>
      </c>
      <c r="D44" s="30" t="s">
        <v>244</v>
      </c>
      <c r="E44" s="32">
        <v>2410</v>
      </c>
      <c r="F44" s="32">
        <f>COUNTIF('個人明細　入力用'!H:H,A44)</f>
        <v>1</v>
      </c>
      <c r="G44" s="33">
        <f t="shared" si="0"/>
        <v>2410</v>
      </c>
    </row>
    <row r="45" spans="1:7" ht="20.25" customHeight="1">
      <c r="A45" s="22" t="s">
        <v>406</v>
      </c>
      <c r="B45" s="23" t="s">
        <v>383</v>
      </c>
      <c r="C45" s="24">
        <v>3</v>
      </c>
      <c r="D45" s="23" t="s">
        <v>244</v>
      </c>
      <c r="E45" s="25">
        <v>2220</v>
      </c>
      <c r="F45" s="25">
        <f>COUNTIF('個人明細　入力用'!H:H,A45)</f>
        <v>1</v>
      </c>
      <c r="G45" s="26">
        <f t="shared" si="0"/>
        <v>2220</v>
      </c>
    </row>
    <row r="46" spans="1:7" ht="20.25" customHeight="1" thickBot="1">
      <c r="A46" s="29" t="s">
        <v>432</v>
      </c>
      <c r="B46" s="30" t="s">
        <v>384</v>
      </c>
      <c r="C46" s="31">
        <v>4</v>
      </c>
      <c r="D46" s="30" t="s">
        <v>244</v>
      </c>
      <c r="E46" s="32">
        <v>1190</v>
      </c>
      <c r="F46" s="133">
        <f>COUNTIF('個人明細　入力用'!H:H,A46)</f>
        <v>0</v>
      </c>
      <c r="G46" s="134">
        <f t="shared" si="0"/>
        <v>0</v>
      </c>
    </row>
    <row r="47" spans="1:7" ht="20.25" customHeight="1">
      <c r="A47" s="120" t="s">
        <v>456</v>
      </c>
      <c r="B47" s="121" t="s">
        <v>458</v>
      </c>
      <c r="C47" s="122">
        <v>5</v>
      </c>
      <c r="D47" s="121"/>
      <c r="E47" s="123">
        <v>1820</v>
      </c>
      <c r="F47" s="123">
        <f>COUNTIF('個人明細　入力用'!H:H,A47)</f>
        <v>0</v>
      </c>
      <c r="G47" s="124">
        <f t="shared" si="0"/>
        <v>0</v>
      </c>
    </row>
    <row r="48" spans="1:7" ht="20.25" customHeight="1" thickBot="1">
      <c r="A48" s="41" t="s">
        <v>457</v>
      </c>
      <c r="B48" s="42" t="s">
        <v>458</v>
      </c>
      <c r="C48" s="43">
        <v>4</v>
      </c>
      <c r="D48" s="42"/>
      <c r="E48" s="44">
        <v>1600</v>
      </c>
      <c r="F48" s="44">
        <f>COUNTIF('個人明細　入力用'!H:H,A48)</f>
        <v>2</v>
      </c>
      <c r="G48" s="132">
        <f t="shared" si="0"/>
        <v>3200</v>
      </c>
    </row>
    <row r="49" spans="4:7" ht="25.5" thickTop="1" thickBot="1">
      <c r="D49" s="50"/>
      <c r="E49" s="51" t="s">
        <v>388</v>
      </c>
      <c r="F49" s="52">
        <f>SUM(F6:F48)</f>
        <v>116</v>
      </c>
      <c r="G49" s="53">
        <f>SUM(G6:G48)</f>
        <v>249420</v>
      </c>
    </row>
  </sheetData>
  <mergeCells count="1">
    <mergeCell ref="A1:E1"/>
  </mergeCells>
  <phoneticPr fontId="1"/>
  <pageMargins left="0.7" right="0.7" top="0.75" bottom="0.75" header="0.3" footer="0.3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31AB-3364-4022-AB86-F7E048D18B5C}">
  <sheetPr>
    <pageSetUpPr fitToPage="1"/>
  </sheetPr>
  <dimension ref="A1:Z182"/>
  <sheetViews>
    <sheetView tabSelected="1" view="pageBreakPreview" topLeftCell="A19" zoomScaleNormal="100" zoomScaleSheetLayoutView="100" workbookViewId="0">
      <selection activeCell="S43" sqref="S43:V43"/>
    </sheetView>
  </sheetViews>
  <sheetFormatPr defaultRowHeight="18.75"/>
  <cols>
    <col min="1" max="1" width="9.25" bestFit="1" customWidth="1"/>
    <col min="2" max="2" width="6.125" customWidth="1"/>
    <col min="3" max="3" width="15.125" bestFit="1" customWidth="1"/>
    <col min="4" max="4" width="12.25" bestFit="1" customWidth="1"/>
    <col min="5" max="5" width="15.25" bestFit="1" customWidth="1"/>
    <col min="6" max="6" width="25.5" bestFit="1" customWidth="1"/>
    <col min="7" max="7" width="13.625" customWidth="1"/>
    <col min="8" max="8" width="11.5" bestFit="1" customWidth="1"/>
    <col min="9" max="9" width="16.75" customWidth="1"/>
    <col min="10" max="10" width="12.875" customWidth="1"/>
    <col min="11" max="11" width="8" customWidth="1"/>
    <col min="12" max="12" width="24" customWidth="1"/>
    <col min="13" max="13" width="10.5" customWidth="1"/>
    <col min="14" max="14" width="6.875" customWidth="1"/>
    <col min="15" max="15" width="20.125" bestFit="1" customWidth="1"/>
    <col min="16" max="16" width="9.375" customWidth="1"/>
    <col min="17" max="17" width="9" customWidth="1"/>
    <col min="18" max="18" width="10.625" customWidth="1"/>
    <col min="19" max="19" width="17.25" bestFit="1" customWidth="1"/>
    <col min="20" max="21" width="8.875" customWidth="1"/>
    <col min="22" max="22" width="7" customWidth="1"/>
    <col min="23" max="23" width="8.875" customWidth="1"/>
    <col min="24" max="24" width="7" customWidth="1"/>
    <col min="25" max="26" width="8.875" customWidth="1"/>
    <col min="27" max="27" width="7.25" customWidth="1"/>
    <col min="28" max="35" width="8.875" customWidth="1"/>
  </cols>
  <sheetData>
    <row r="1" spans="1:21">
      <c r="C1" s="54" t="s">
        <v>240</v>
      </c>
      <c r="D1" s="55" t="s">
        <v>241</v>
      </c>
      <c r="E1" s="55" t="s">
        <v>242</v>
      </c>
      <c r="F1" s="55" t="s">
        <v>307</v>
      </c>
      <c r="G1" s="55" t="s">
        <v>248</v>
      </c>
      <c r="H1" s="56" t="s">
        <v>365</v>
      </c>
      <c r="I1" s="2"/>
      <c r="J1" s="2"/>
      <c r="K1" s="2"/>
      <c r="L1" s="2"/>
      <c r="M1" s="2"/>
      <c r="N1" s="2"/>
      <c r="O1" s="2"/>
    </row>
    <row r="2" spans="1:21">
      <c r="C2" s="57"/>
      <c r="D2" s="58"/>
      <c r="E2" s="58"/>
      <c r="F2" s="58"/>
      <c r="G2" s="58"/>
      <c r="H2" s="59"/>
    </row>
    <row r="3" spans="1:21" s="3" customFormat="1">
      <c r="C3" s="60"/>
      <c r="D3" s="61"/>
      <c r="E3" s="61"/>
      <c r="F3" s="61" t="s">
        <v>281</v>
      </c>
      <c r="G3" s="61"/>
      <c r="H3" s="62"/>
      <c r="I3" s="9" t="s">
        <v>356</v>
      </c>
      <c r="J3" s="9" t="s">
        <v>358</v>
      </c>
      <c r="K3" s="9" t="s">
        <v>255</v>
      </c>
      <c r="L3" s="9" t="s">
        <v>300</v>
      </c>
      <c r="M3" s="10" t="s">
        <v>358</v>
      </c>
      <c r="N3" s="9" t="s">
        <v>255</v>
      </c>
      <c r="O3" s="9" t="s">
        <v>300</v>
      </c>
      <c r="P3" s="11" t="s">
        <v>358</v>
      </c>
      <c r="Q3" s="11" t="s">
        <v>299</v>
      </c>
      <c r="R3" s="11" t="s">
        <v>342</v>
      </c>
      <c r="S3" s="9" t="s">
        <v>358</v>
      </c>
      <c r="T3" s="9" t="s">
        <v>255</v>
      </c>
      <c r="U3" s="9" t="s">
        <v>256</v>
      </c>
    </row>
    <row r="4" spans="1:21">
      <c r="B4" s="16"/>
      <c r="C4" s="63" t="s">
        <v>263</v>
      </c>
      <c r="D4" s="64" t="s">
        <v>280</v>
      </c>
      <c r="E4" s="64" t="s">
        <v>281</v>
      </c>
      <c r="F4" s="64" t="s">
        <v>281</v>
      </c>
      <c r="G4" s="64">
        <v>5</v>
      </c>
      <c r="H4" s="65" t="s">
        <v>397</v>
      </c>
      <c r="I4" s="13" t="s">
        <v>353</v>
      </c>
      <c r="J4" s="13" t="s">
        <v>259</v>
      </c>
      <c r="K4" s="13">
        <v>5</v>
      </c>
      <c r="L4" s="13" t="s">
        <v>354</v>
      </c>
      <c r="M4" s="13" t="s">
        <v>259</v>
      </c>
      <c r="N4" s="13">
        <v>5</v>
      </c>
      <c r="O4" s="13" t="s">
        <v>359</v>
      </c>
      <c r="P4" s="13"/>
      <c r="Q4" s="13"/>
      <c r="R4" s="13" t="s">
        <v>341</v>
      </c>
      <c r="S4" s="13" t="s">
        <v>259</v>
      </c>
      <c r="T4" s="13">
        <v>5</v>
      </c>
      <c r="U4" s="13">
        <v>70</v>
      </c>
    </row>
    <row r="5" spans="1:21">
      <c r="A5" s="103">
        <v>45838</v>
      </c>
      <c r="B5" s="16" t="s">
        <v>448</v>
      </c>
      <c r="C5" s="109" t="s">
        <v>264</v>
      </c>
      <c r="D5" s="110" t="s">
        <v>282</v>
      </c>
      <c r="E5" s="110" t="s">
        <v>281</v>
      </c>
      <c r="F5" s="110" t="s">
        <v>281</v>
      </c>
      <c r="G5" s="118"/>
      <c r="H5" s="119"/>
      <c r="I5" s="112"/>
      <c r="J5" s="112"/>
      <c r="K5" s="112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>
      <c r="A6" s="103">
        <v>45870</v>
      </c>
      <c r="B6" s="16" t="s">
        <v>455</v>
      </c>
      <c r="C6" s="66" t="s">
        <v>449</v>
      </c>
      <c r="D6" s="67" t="s">
        <v>450</v>
      </c>
      <c r="E6" s="67" t="s">
        <v>451</v>
      </c>
      <c r="F6" s="67" t="s">
        <v>451</v>
      </c>
      <c r="G6" s="67" t="s">
        <v>459</v>
      </c>
      <c r="H6" s="68" t="s">
        <v>457</v>
      </c>
      <c r="I6" s="13"/>
      <c r="J6" s="13"/>
      <c r="K6" s="13"/>
      <c r="L6" s="13" t="s">
        <v>460</v>
      </c>
      <c r="M6" s="13" t="s">
        <v>254</v>
      </c>
      <c r="N6" s="13">
        <v>4</v>
      </c>
      <c r="O6" s="13"/>
      <c r="P6" s="13"/>
      <c r="Q6" s="13"/>
      <c r="R6" s="13"/>
      <c r="S6" s="13"/>
      <c r="T6" s="13"/>
      <c r="U6" s="13"/>
    </row>
    <row r="7" spans="1:21">
      <c r="B7" s="16"/>
      <c r="C7" s="63" t="s">
        <v>279</v>
      </c>
      <c r="D7" s="64" t="s">
        <v>283</v>
      </c>
      <c r="E7" s="64" t="s">
        <v>281</v>
      </c>
      <c r="F7" s="64" t="s">
        <v>281</v>
      </c>
      <c r="G7" s="64">
        <v>5</v>
      </c>
      <c r="H7" s="65" t="s">
        <v>397</v>
      </c>
      <c r="I7" s="13" t="s">
        <v>355</v>
      </c>
      <c r="J7" s="13" t="s">
        <v>254</v>
      </c>
      <c r="K7" s="13">
        <v>1</v>
      </c>
      <c r="L7" s="13" t="s">
        <v>354</v>
      </c>
      <c r="M7" s="13" t="s">
        <v>254</v>
      </c>
      <c r="N7" s="13">
        <v>5</v>
      </c>
      <c r="O7" s="13" t="s">
        <v>301</v>
      </c>
      <c r="P7" s="13"/>
      <c r="Q7" s="13"/>
      <c r="R7" s="13" t="s">
        <v>340</v>
      </c>
      <c r="S7" s="13" t="s">
        <v>254</v>
      </c>
      <c r="T7" s="13">
        <v>5</v>
      </c>
      <c r="U7" s="13">
        <v>74</v>
      </c>
    </row>
    <row r="8" spans="1:21">
      <c r="B8" s="16"/>
      <c r="C8" s="66" t="s">
        <v>284</v>
      </c>
      <c r="D8" s="67" t="s">
        <v>285</v>
      </c>
      <c r="E8" s="67" t="s">
        <v>281</v>
      </c>
      <c r="F8" s="67" t="s">
        <v>281</v>
      </c>
      <c r="G8" s="67">
        <v>5</v>
      </c>
      <c r="H8" s="68" t="s">
        <v>397</v>
      </c>
      <c r="I8" s="13" t="s">
        <v>353</v>
      </c>
      <c r="J8" s="13" t="s">
        <v>254</v>
      </c>
      <c r="K8" s="13">
        <v>5</v>
      </c>
      <c r="L8" s="13" t="s">
        <v>354</v>
      </c>
      <c r="M8" s="13" t="s">
        <v>254</v>
      </c>
      <c r="N8" s="13">
        <v>3</v>
      </c>
      <c r="O8" s="13" t="s">
        <v>301</v>
      </c>
      <c r="P8" s="13" t="s">
        <v>254</v>
      </c>
      <c r="Q8" s="13">
        <v>2</v>
      </c>
      <c r="R8" s="13" t="s">
        <v>341</v>
      </c>
      <c r="S8" s="13" t="s">
        <v>254</v>
      </c>
      <c r="T8" s="13">
        <v>5</v>
      </c>
      <c r="U8" s="13">
        <v>70</v>
      </c>
    </row>
    <row r="9" spans="1:21">
      <c r="A9" s="103">
        <v>46049</v>
      </c>
      <c r="B9" s="16" t="s">
        <v>436</v>
      </c>
      <c r="C9" s="138" t="s">
        <v>286</v>
      </c>
      <c r="D9" s="139" t="s">
        <v>287</v>
      </c>
      <c r="E9" s="139" t="s">
        <v>281</v>
      </c>
      <c r="F9" s="139" t="s">
        <v>281</v>
      </c>
      <c r="G9" s="155"/>
      <c r="H9" s="156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</row>
    <row r="10" spans="1:21">
      <c r="A10" s="103">
        <v>45861</v>
      </c>
      <c r="B10" s="16" t="s">
        <v>436</v>
      </c>
      <c r="C10" s="129" t="s">
        <v>288</v>
      </c>
      <c r="D10" s="130" t="s">
        <v>289</v>
      </c>
      <c r="E10" s="130" t="s">
        <v>281</v>
      </c>
      <c r="F10" s="130" t="s">
        <v>281</v>
      </c>
      <c r="G10" s="130"/>
      <c r="H10" s="131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</row>
    <row r="11" spans="1:21">
      <c r="B11" s="16"/>
      <c r="C11" s="63" t="s">
        <v>290</v>
      </c>
      <c r="D11" s="64" t="s">
        <v>291</v>
      </c>
      <c r="E11" s="64" t="s">
        <v>281</v>
      </c>
      <c r="F11" s="64" t="s">
        <v>281</v>
      </c>
      <c r="G11" s="64">
        <v>3</v>
      </c>
      <c r="H11" s="65" t="s">
        <v>407</v>
      </c>
      <c r="I11" s="13" t="s">
        <v>353</v>
      </c>
      <c r="J11" s="13" t="s">
        <v>292</v>
      </c>
      <c r="K11" s="13">
        <v>3</v>
      </c>
      <c r="L11" s="13" t="s">
        <v>354</v>
      </c>
      <c r="M11" s="13" t="s">
        <v>254</v>
      </c>
      <c r="N11" s="13">
        <v>3</v>
      </c>
      <c r="O11" s="13" t="s">
        <v>301</v>
      </c>
      <c r="P11" s="13"/>
      <c r="Q11" s="13"/>
      <c r="R11" s="13" t="s">
        <v>341</v>
      </c>
      <c r="S11" s="13" t="s">
        <v>259</v>
      </c>
      <c r="T11" s="13">
        <v>3</v>
      </c>
      <c r="U11" s="13">
        <v>73</v>
      </c>
    </row>
    <row r="12" spans="1:21">
      <c r="A12" s="103">
        <v>46112</v>
      </c>
      <c r="B12" s="16" t="s">
        <v>436</v>
      </c>
      <c r="C12" s="129" t="s">
        <v>392</v>
      </c>
      <c r="D12" s="130" t="s">
        <v>396</v>
      </c>
      <c r="E12" s="130" t="s">
        <v>281</v>
      </c>
      <c r="F12" s="130" t="s">
        <v>281</v>
      </c>
      <c r="G12" s="130"/>
      <c r="H12" s="131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</row>
    <row r="13" spans="1:21">
      <c r="A13" s="103">
        <v>45765</v>
      </c>
      <c r="B13" s="16" t="s">
        <v>435</v>
      </c>
      <c r="C13" s="63" t="s">
        <v>433</v>
      </c>
      <c r="D13" s="64" t="s">
        <v>434</v>
      </c>
      <c r="E13" s="64" t="s">
        <v>281</v>
      </c>
      <c r="F13" s="64" t="s">
        <v>281</v>
      </c>
      <c r="G13" s="69" t="s">
        <v>275</v>
      </c>
      <c r="H13" s="65" t="s">
        <v>367</v>
      </c>
      <c r="I13" s="13" t="s">
        <v>353</v>
      </c>
      <c r="J13" s="13" t="s">
        <v>254</v>
      </c>
      <c r="K13" s="13">
        <v>4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>
      <c r="B14" s="16"/>
      <c r="C14" s="70" t="s">
        <v>271</v>
      </c>
      <c r="D14" s="71"/>
      <c r="E14" s="71" t="s">
        <v>281</v>
      </c>
      <c r="F14" s="71" t="s">
        <v>281</v>
      </c>
      <c r="G14" s="72" t="s">
        <v>272</v>
      </c>
      <c r="H14" s="73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>
      <c r="A15" s="103">
        <v>46113</v>
      </c>
      <c r="B15" s="16" t="s">
        <v>503</v>
      </c>
      <c r="C15" s="147" t="s">
        <v>504</v>
      </c>
      <c r="D15" s="147" t="s">
        <v>505</v>
      </c>
      <c r="E15" s="147" t="s">
        <v>506</v>
      </c>
      <c r="F15" s="147" t="s">
        <v>506</v>
      </c>
      <c r="G15" s="147" t="s">
        <v>459</v>
      </c>
      <c r="H15" s="159" t="s">
        <v>457</v>
      </c>
      <c r="I15" s="12"/>
      <c r="J15" s="12"/>
      <c r="K15" s="12"/>
      <c r="L15" s="13" t="s">
        <v>460</v>
      </c>
      <c r="M15" s="13" t="s">
        <v>507</v>
      </c>
      <c r="N15" s="13">
        <v>4</v>
      </c>
      <c r="O15" s="12"/>
      <c r="P15" s="12"/>
      <c r="Q15" s="12"/>
      <c r="R15" s="12"/>
      <c r="S15" s="12"/>
      <c r="T15" s="12"/>
      <c r="U15" s="12"/>
    </row>
    <row r="16" spans="1:21">
      <c r="C16" s="145"/>
      <c r="H16" s="158"/>
      <c r="I16" s="2"/>
      <c r="J16" s="1"/>
      <c r="K16" s="1"/>
      <c r="L16" s="1"/>
      <c r="M16" s="1"/>
      <c r="N16" s="1"/>
      <c r="P16" s="1"/>
      <c r="Q16" s="1"/>
    </row>
    <row r="17" spans="2:22" s="3" customFormat="1">
      <c r="C17" s="77"/>
      <c r="D17" s="78"/>
      <c r="E17" s="78"/>
      <c r="F17" s="64" t="s">
        <v>308</v>
      </c>
      <c r="G17" s="79"/>
      <c r="H17" s="80"/>
      <c r="I17" s="9" t="s">
        <v>300</v>
      </c>
      <c r="J17" s="9" t="s">
        <v>358</v>
      </c>
      <c r="K17" s="9" t="s">
        <v>255</v>
      </c>
      <c r="L17" s="9" t="s">
        <v>300</v>
      </c>
      <c r="M17" s="9" t="s">
        <v>358</v>
      </c>
      <c r="N17" s="9" t="s">
        <v>255</v>
      </c>
      <c r="O17" s="9" t="s">
        <v>342</v>
      </c>
      <c r="P17" s="9" t="s">
        <v>358</v>
      </c>
      <c r="Q17" s="9" t="s">
        <v>255</v>
      </c>
      <c r="R17" s="9" t="s">
        <v>256</v>
      </c>
      <c r="S17" s="9" t="s">
        <v>342</v>
      </c>
      <c r="T17" s="9" t="s">
        <v>358</v>
      </c>
      <c r="U17" s="9" t="s">
        <v>255</v>
      </c>
      <c r="V17" s="9" t="s">
        <v>256</v>
      </c>
    </row>
    <row r="18" spans="2:22">
      <c r="B18" s="16"/>
      <c r="C18" s="66" t="s">
        <v>0</v>
      </c>
      <c r="D18" s="67" t="s">
        <v>1</v>
      </c>
      <c r="E18" s="67" t="s">
        <v>2</v>
      </c>
      <c r="F18" s="67" t="s">
        <v>308</v>
      </c>
      <c r="G18" s="67">
        <v>5</v>
      </c>
      <c r="H18" s="81" t="s">
        <v>398</v>
      </c>
      <c r="I18" s="13" t="s">
        <v>324</v>
      </c>
      <c r="J18" s="13" t="s">
        <v>253</v>
      </c>
      <c r="K18" s="13">
        <v>2</v>
      </c>
      <c r="L18" s="13" t="s">
        <v>325</v>
      </c>
      <c r="M18" s="13" t="s">
        <v>253</v>
      </c>
      <c r="N18" s="13">
        <v>3</v>
      </c>
      <c r="O18" s="13" t="s">
        <v>326</v>
      </c>
      <c r="P18" s="13" t="s">
        <v>254</v>
      </c>
      <c r="Q18" s="13">
        <v>2</v>
      </c>
      <c r="R18" s="13">
        <v>67</v>
      </c>
      <c r="S18" s="13" t="s">
        <v>327</v>
      </c>
      <c r="T18" s="13" t="s">
        <v>254</v>
      </c>
      <c r="U18" s="13">
        <v>3</v>
      </c>
      <c r="V18" s="13">
        <v>67</v>
      </c>
    </row>
    <row r="19" spans="2:22">
      <c r="B19" s="16"/>
      <c r="C19" s="63" t="s">
        <v>3</v>
      </c>
      <c r="D19" s="64" t="s">
        <v>4</v>
      </c>
      <c r="E19" s="64" t="s">
        <v>2</v>
      </c>
      <c r="F19" s="64" t="s">
        <v>308</v>
      </c>
      <c r="G19" s="64">
        <v>5</v>
      </c>
      <c r="H19" s="82" t="s">
        <v>398</v>
      </c>
      <c r="I19" s="13" t="s">
        <v>324</v>
      </c>
      <c r="J19" s="13" t="s">
        <v>257</v>
      </c>
      <c r="K19" s="13">
        <v>3</v>
      </c>
      <c r="L19" s="13" t="s">
        <v>325</v>
      </c>
      <c r="M19" s="13" t="s">
        <v>257</v>
      </c>
      <c r="N19" s="13">
        <v>2</v>
      </c>
      <c r="O19" s="13" t="s">
        <v>326</v>
      </c>
      <c r="P19" s="13" t="s">
        <v>258</v>
      </c>
      <c r="Q19" s="13">
        <v>3</v>
      </c>
      <c r="R19" s="13">
        <v>70</v>
      </c>
      <c r="S19" s="13" t="s">
        <v>327</v>
      </c>
      <c r="T19" s="13" t="s">
        <v>258</v>
      </c>
      <c r="U19" s="13">
        <v>2</v>
      </c>
      <c r="V19" s="13">
        <v>70</v>
      </c>
    </row>
    <row r="20" spans="2:22">
      <c r="B20" s="16"/>
      <c r="C20" s="66" t="s">
        <v>5</v>
      </c>
      <c r="D20" s="67" t="s">
        <v>6</v>
      </c>
      <c r="E20" s="67" t="s">
        <v>2</v>
      </c>
      <c r="F20" s="67" t="s">
        <v>308</v>
      </c>
      <c r="G20" s="67">
        <v>5</v>
      </c>
      <c r="H20" s="81" t="s">
        <v>398</v>
      </c>
      <c r="I20" s="13" t="s">
        <v>324</v>
      </c>
      <c r="J20" s="13" t="s">
        <v>253</v>
      </c>
      <c r="K20" s="13">
        <v>2</v>
      </c>
      <c r="L20" s="13" t="s">
        <v>325</v>
      </c>
      <c r="M20" s="13" t="s">
        <v>253</v>
      </c>
      <c r="N20" s="13">
        <v>3</v>
      </c>
      <c r="O20" s="13" t="s">
        <v>326</v>
      </c>
      <c r="P20" s="13" t="s">
        <v>254</v>
      </c>
      <c r="Q20" s="13">
        <v>2</v>
      </c>
      <c r="R20" s="13">
        <v>68</v>
      </c>
      <c r="S20" s="13" t="s">
        <v>327</v>
      </c>
      <c r="T20" s="13" t="s">
        <v>254</v>
      </c>
      <c r="U20" s="13">
        <v>3</v>
      </c>
      <c r="V20" s="13">
        <v>68</v>
      </c>
    </row>
    <row r="21" spans="2:22">
      <c r="B21" s="16"/>
      <c r="C21" s="63" t="s">
        <v>7</v>
      </c>
      <c r="D21" s="64" t="s">
        <v>8</v>
      </c>
      <c r="E21" s="64" t="s">
        <v>2</v>
      </c>
      <c r="F21" s="64" t="s">
        <v>308</v>
      </c>
      <c r="G21" s="64">
        <v>5</v>
      </c>
      <c r="H21" s="82" t="s">
        <v>398</v>
      </c>
      <c r="I21" s="13" t="s">
        <v>324</v>
      </c>
      <c r="J21" s="13" t="s">
        <v>259</v>
      </c>
      <c r="K21" s="13">
        <v>2</v>
      </c>
      <c r="L21" s="13" t="s">
        <v>325</v>
      </c>
      <c r="M21" s="13" t="s">
        <v>259</v>
      </c>
      <c r="N21" s="13">
        <v>3</v>
      </c>
      <c r="O21" s="13" t="s">
        <v>326</v>
      </c>
      <c r="P21" s="13" t="s">
        <v>259</v>
      </c>
      <c r="Q21" s="13">
        <v>2</v>
      </c>
      <c r="R21" s="13">
        <v>70</v>
      </c>
      <c r="S21" s="13" t="s">
        <v>327</v>
      </c>
      <c r="T21" s="13" t="s">
        <v>259</v>
      </c>
      <c r="U21" s="13">
        <v>3</v>
      </c>
      <c r="V21" s="13">
        <v>70</v>
      </c>
    </row>
    <row r="22" spans="2:22">
      <c r="B22" s="16"/>
      <c r="C22" s="66" t="s">
        <v>9</v>
      </c>
      <c r="D22" s="67" t="s">
        <v>10</v>
      </c>
      <c r="E22" s="67" t="s">
        <v>2</v>
      </c>
      <c r="F22" s="67" t="s">
        <v>308</v>
      </c>
      <c r="G22" s="67">
        <v>5</v>
      </c>
      <c r="H22" s="81" t="s">
        <v>398</v>
      </c>
      <c r="I22" s="13" t="s">
        <v>324</v>
      </c>
      <c r="J22" s="13" t="s">
        <v>257</v>
      </c>
      <c r="K22" s="13">
        <v>2</v>
      </c>
      <c r="L22" s="13" t="s">
        <v>325</v>
      </c>
      <c r="M22" s="13" t="s">
        <v>257</v>
      </c>
      <c r="N22" s="13">
        <v>3</v>
      </c>
      <c r="O22" s="13" t="s">
        <v>326</v>
      </c>
      <c r="P22" s="13"/>
      <c r="Q22" s="13"/>
      <c r="R22" s="13"/>
      <c r="S22" s="13" t="s">
        <v>327</v>
      </c>
      <c r="T22" s="13" t="s">
        <v>258</v>
      </c>
      <c r="U22" s="13">
        <v>5</v>
      </c>
      <c r="V22" s="13">
        <v>70</v>
      </c>
    </row>
    <row r="23" spans="2:22">
      <c r="B23" s="16"/>
      <c r="C23" s="63" t="s">
        <v>11</v>
      </c>
      <c r="D23" s="64" t="s">
        <v>12</v>
      </c>
      <c r="E23" s="64" t="s">
        <v>2</v>
      </c>
      <c r="F23" s="64" t="s">
        <v>308</v>
      </c>
      <c r="G23" s="64">
        <v>5</v>
      </c>
      <c r="H23" s="82" t="s">
        <v>398</v>
      </c>
      <c r="I23" s="13" t="s">
        <v>324</v>
      </c>
      <c r="J23" s="13" t="s">
        <v>259</v>
      </c>
      <c r="K23" s="13">
        <v>2</v>
      </c>
      <c r="L23" s="13" t="s">
        <v>325</v>
      </c>
      <c r="M23" s="13" t="s">
        <v>259</v>
      </c>
      <c r="N23" s="13">
        <v>3</v>
      </c>
      <c r="O23" s="13" t="s">
        <v>326</v>
      </c>
      <c r="P23" s="13"/>
      <c r="Q23" s="13"/>
      <c r="R23" s="13"/>
      <c r="S23" s="13" t="s">
        <v>327</v>
      </c>
      <c r="T23" s="13" t="s">
        <v>259</v>
      </c>
      <c r="U23" s="13">
        <v>5</v>
      </c>
      <c r="V23" s="13">
        <v>72</v>
      </c>
    </row>
    <row r="24" spans="2:22">
      <c r="B24" s="16"/>
      <c r="C24" s="66" t="s">
        <v>13</v>
      </c>
      <c r="D24" s="67" t="s">
        <v>14</v>
      </c>
      <c r="E24" s="67" t="s">
        <v>2</v>
      </c>
      <c r="F24" s="67" t="s">
        <v>308</v>
      </c>
      <c r="G24" s="67">
        <v>5</v>
      </c>
      <c r="H24" s="81" t="s">
        <v>398</v>
      </c>
      <c r="I24" s="13" t="s">
        <v>324</v>
      </c>
      <c r="J24" s="13" t="s">
        <v>253</v>
      </c>
      <c r="K24" s="13">
        <v>2</v>
      </c>
      <c r="L24" s="13" t="s">
        <v>325</v>
      </c>
      <c r="M24" s="13" t="s">
        <v>253</v>
      </c>
      <c r="N24" s="13">
        <v>3</v>
      </c>
      <c r="O24" s="13" t="s">
        <v>326</v>
      </c>
      <c r="P24" s="13" t="s">
        <v>254</v>
      </c>
      <c r="Q24" s="13">
        <v>2</v>
      </c>
      <c r="R24" s="13">
        <v>70</v>
      </c>
      <c r="S24" s="13" t="s">
        <v>327</v>
      </c>
      <c r="T24" s="13" t="s">
        <v>254</v>
      </c>
      <c r="U24" s="13">
        <v>3</v>
      </c>
      <c r="V24" s="13">
        <v>70</v>
      </c>
    </row>
    <row r="25" spans="2:22">
      <c r="B25" s="16"/>
      <c r="C25" s="63" t="s">
        <v>15</v>
      </c>
      <c r="D25" s="64" t="s">
        <v>16</v>
      </c>
      <c r="E25" s="64" t="s">
        <v>2</v>
      </c>
      <c r="F25" s="64" t="s">
        <v>308</v>
      </c>
      <c r="G25" s="64">
        <v>5</v>
      </c>
      <c r="H25" s="82" t="s">
        <v>398</v>
      </c>
      <c r="I25" s="13" t="s">
        <v>324</v>
      </c>
      <c r="J25" s="13"/>
      <c r="K25" s="13"/>
      <c r="L25" s="13" t="s">
        <v>325</v>
      </c>
      <c r="M25" s="13" t="s">
        <v>259</v>
      </c>
      <c r="N25" s="13">
        <v>5</v>
      </c>
      <c r="O25" s="13" t="s">
        <v>326</v>
      </c>
      <c r="P25" s="13"/>
      <c r="Q25" s="13"/>
      <c r="R25" s="13"/>
      <c r="S25" s="13" t="s">
        <v>327</v>
      </c>
      <c r="T25" s="13" t="s">
        <v>254</v>
      </c>
      <c r="U25" s="13">
        <v>5</v>
      </c>
      <c r="V25" s="13">
        <v>67</v>
      </c>
    </row>
    <row r="26" spans="2:22">
      <c r="B26" s="16"/>
      <c r="C26" s="66" t="s">
        <v>17</v>
      </c>
      <c r="D26" s="67" t="s">
        <v>18</v>
      </c>
      <c r="E26" s="67" t="s">
        <v>2</v>
      </c>
      <c r="F26" s="67" t="s">
        <v>308</v>
      </c>
      <c r="G26" s="67">
        <v>5</v>
      </c>
      <c r="H26" s="81" t="s">
        <v>398</v>
      </c>
      <c r="I26" s="13" t="s">
        <v>324</v>
      </c>
      <c r="J26" s="13" t="s">
        <v>259</v>
      </c>
      <c r="K26" s="13">
        <v>2</v>
      </c>
      <c r="L26" s="13" t="s">
        <v>325</v>
      </c>
      <c r="M26" s="13" t="s">
        <v>259</v>
      </c>
      <c r="N26" s="13">
        <v>3</v>
      </c>
      <c r="O26" s="13" t="s">
        <v>326</v>
      </c>
      <c r="P26" s="13" t="s">
        <v>257</v>
      </c>
      <c r="Q26" s="13">
        <v>2</v>
      </c>
      <c r="R26" s="13">
        <v>72</v>
      </c>
      <c r="S26" s="13" t="s">
        <v>327</v>
      </c>
      <c r="T26" s="13" t="s">
        <v>257</v>
      </c>
      <c r="U26" s="13">
        <v>3</v>
      </c>
      <c r="V26" s="13">
        <v>72</v>
      </c>
    </row>
    <row r="27" spans="2:22">
      <c r="B27" s="16"/>
      <c r="C27" s="63" t="s">
        <v>19</v>
      </c>
      <c r="D27" s="64" t="s">
        <v>20</v>
      </c>
      <c r="E27" s="64" t="s">
        <v>2</v>
      </c>
      <c r="F27" s="64" t="s">
        <v>308</v>
      </c>
      <c r="G27" s="64">
        <v>5</v>
      </c>
      <c r="H27" s="82" t="s">
        <v>398</v>
      </c>
      <c r="I27" s="13" t="s">
        <v>324</v>
      </c>
      <c r="J27" s="13" t="s">
        <v>254</v>
      </c>
      <c r="K27" s="13">
        <v>2</v>
      </c>
      <c r="L27" s="13" t="s">
        <v>325</v>
      </c>
      <c r="M27" s="13" t="s">
        <v>254</v>
      </c>
      <c r="N27" s="13">
        <v>3</v>
      </c>
      <c r="O27" s="13" t="s">
        <v>326</v>
      </c>
      <c r="P27" s="13" t="s">
        <v>254</v>
      </c>
      <c r="Q27" s="13">
        <v>1</v>
      </c>
      <c r="R27" s="13">
        <v>79</v>
      </c>
      <c r="S27" s="13" t="s">
        <v>327</v>
      </c>
      <c r="T27" s="13" t="s">
        <v>254</v>
      </c>
      <c r="U27" s="13">
        <v>4</v>
      </c>
      <c r="V27" s="13">
        <v>79</v>
      </c>
    </row>
    <row r="28" spans="2:22">
      <c r="B28" s="16" t="s">
        <v>462</v>
      </c>
      <c r="C28" s="129" t="s">
        <v>21</v>
      </c>
      <c r="D28" s="130" t="s">
        <v>22</v>
      </c>
      <c r="E28" s="130" t="s">
        <v>2</v>
      </c>
      <c r="F28" s="130" t="s">
        <v>308</v>
      </c>
      <c r="G28" s="136"/>
      <c r="H28" s="137"/>
      <c r="I28" s="128" t="s">
        <v>324</v>
      </c>
      <c r="J28" s="128"/>
      <c r="K28" s="128"/>
      <c r="L28" s="128" t="s">
        <v>325</v>
      </c>
      <c r="M28" s="128"/>
      <c r="N28" s="128"/>
      <c r="O28" s="128" t="s">
        <v>326</v>
      </c>
      <c r="P28" s="128"/>
      <c r="Q28" s="128"/>
      <c r="R28" s="128"/>
      <c r="S28" s="128" t="s">
        <v>327</v>
      </c>
      <c r="T28" s="128"/>
      <c r="U28" s="128"/>
      <c r="V28" s="128"/>
    </row>
    <row r="29" spans="2:22">
      <c r="B29" s="16"/>
      <c r="C29" s="63" t="s">
        <v>47</v>
      </c>
      <c r="D29" s="64" t="s">
        <v>48</v>
      </c>
      <c r="E29" s="64" t="s">
        <v>2</v>
      </c>
      <c r="F29" s="64" t="s">
        <v>308</v>
      </c>
      <c r="G29" s="64">
        <v>5</v>
      </c>
      <c r="H29" s="82" t="s">
        <v>398</v>
      </c>
      <c r="I29" s="13" t="s">
        <v>324</v>
      </c>
      <c r="J29" s="13" t="s">
        <v>257</v>
      </c>
      <c r="K29" s="13">
        <v>2</v>
      </c>
      <c r="L29" s="13" t="s">
        <v>325</v>
      </c>
      <c r="M29" s="13" t="s">
        <v>257</v>
      </c>
      <c r="N29" s="13">
        <v>3</v>
      </c>
      <c r="O29" s="13" t="s">
        <v>326</v>
      </c>
      <c r="P29" s="13" t="s">
        <v>257</v>
      </c>
      <c r="Q29" s="13">
        <v>2</v>
      </c>
      <c r="R29" s="13">
        <v>69</v>
      </c>
      <c r="S29" s="13" t="s">
        <v>327</v>
      </c>
      <c r="T29" s="13" t="s">
        <v>257</v>
      </c>
      <c r="U29" s="13">
        <v>3</v>
      </c>
      <c r="V29" s="13">
        <v>69</v>
      </c>
    </row>
    <row r="30" spans="2:22">
      <c r="B30" s="16"/>
      <c r="C30" s="66" t="s">
        <v>23</v>
      </c>
      <c r="D30" s="67" t="s">
        <v>24</v>
      </c>
      <c r="E30" s="67" t="s">
        <v>2</v>
      </c>
      <c r="F30" s="67" t="s">
        <v>308</v>
      </c>
      <c r="G30" s="67">
        <v>5</v>
      </c>
      <c r="H30" s="81" t="s">
        <v>398</v>
      </c>
      <c r="I30" s="13" t="s">
        <v>324</v>
      </c>
      <c r="J30" s="13" t="s">
        <v>260</v>
      </c>
      <c r="K30" s="13">
        <v>2</v>
      </c>
      <c r="L30" s="13" t="s">
        <v>325</v>
      </c>
      <c r="M30" s="13" t="s">
        <v>260</v>
      </c>
      <c r="N30" s="13">
        <v>3</v>
      </c>
      <c r="O30" s="13" t="s">
        <v>326</v>
      </c>
      <c r="P30" s="13" t="s">
        <v>253</v>
      </c>
      <c r="Q30" s="13">
        <v>3</v>
      </c>
      <c r="R30" s="13">
        <v>73</v>
      </c>
      <c r="S30" s="13" t="s">
        <v>327</v>
      </c>
      <c r="T30" s="13" t="s">
        <v>253</v>
      </c>
      <c r="U30" s="13">
        <v>2</v>
      </c>
      <c r="V30" s="13">
        <v>73</v>
      </c>
    </row>
    <row r="31" spans="2:22">
      <c r="B31" s="16"/>
      <c r="C31" s="63" t="s">
        <v>25</v>
      </c>
      <c r="D31" s="64" t="s">
        <v>26</v>
      </c>
      <c r="E31" s="64" t="s">
        <v>2</v>
      </c>
      <c r="F31" s="64" t="s">
        <v>308</v>
      </c>
      <c r="G31" s="64">
        <v>4</v>
      </c>
      <c r="H31" s="82" t="s">
        <v>410</v>
      </c>
      <c r="I31" s="13" t="s">
        <v>324</v>
      </c>
      <c r="J31" s="13" t="s">
        <v>253</v>
      </c>
      <c r="K31" s="13">
        <v>2</v>
      </c>
      <c r="L31" s="13" t="s">
        <v>325</v>
      </c>
      <c r="M31" s="13" t="s">
        <v>253</v>
      </c>
      <c r="N31" s="13">
        <v>2</v>
      </c>
      <c r="O31" s="13" t="s">
        <v>326</v>
      </c>
      <c r="P31" s="13" t="s">
        <v>254</v>
      </c>
      <c r="Q31" s="13">
        <v>1</v>
      </c>
      <c r="R31" s="13">
        <v>76</v>
      </c>
      <c r="S31" s="13" t="s">
        <v>327</v>
      </c>
      <c r="T31" s="13" t="s">
        <v>254</v>
      </c>
      <c r="U31" s="13">
        <v>3</v>
      </c>
      <c r="V31" s="13">
        <v>76</v>
      </c>
    </row>
    <row r="32" spans="2:22">
      <c r="B32" s="16"/>
      <c r="C32" s="66" t="s">
        <v>27</v>
      </c>
      <c r="D32" s="67" t="s">
        <v>28</v>
      </c>
      <c r="E32" s="67" t="s">
        <v>2</v>
      </c>
      <c r="F32" s="67" t="s">
        <v>308</v>
      </c>
      <c r="G32" s="67">
        <v>4</v>
      </c>
      <c r="H32" s="81" t="s">
        <v>410</v>
      </c>
      <c r="I32" s="13" t="s">
        <v>324</v>
      </c>
      <c r="J32" s="13" t="s">
        <v>259</v>
      </c>
      <c r="K32" s="13">
        <v>2</v>
      </c>
      <c r="L32" s="13" t="s">
        <v>325</v>
      </c>
      <c r="M32" s="13" t="s">
        <v>259</v>
      </c>
      <c r="N32" s="13">
        <v>2</v>
      </c>
      <c r="O32" s="13" t="s">
        <v>326</v>
      </c>
      <c r="P32" s="13" t="s">
        <v>259</v>
      </c>
      <c r="Q32" s="13">
        <v>2</v>
      </c>
      <c r="R32" s="13">
        <v>73</v>
      </c>
      <c r="S32" s="13" t="s">
        <v>327</v>
      </c>
      <c r="T32" s="13" t="s">
        <v>259</v>
      </c>
      <c r="U32" s="13">
        <v>2</v>
      </c>
      <c r="V32" s="13">
        <v>73</v>
      </c>
    </row>
    <row r="33" spans="1:23">
      <c r="B33" s="16"/>
      <c r="C33" s="63" t="s">
        <v>29</v>
      </c>
      <c r="D33" s="64" t="s">
        <v>30</v>
      </c>
      <c r="E33" s="64" t="s">
        <v>2</v>
      </c>
      <c r="F33" s="64" t="s">
        <v>308</v>
      </c>
      <c r="G33" s="64">
        <v>5</v>
      </c>
      <c r="H33" s="82" t="s">
        <v>398</v>
      </c>
      <c r="I33" s="13" t="s">
        <v>324</v>
      </c>
      <c r="J33" s="13" t="s">
        <v>254</v>
      </c>
      <c r="K33" s="13">
        <v>3</v>
      </c>
      <c r="L33" s="13" t="s">
        <v>325</v>
      </c>
      <c r="M33" s="13" t="s">
        <v>254</v>
      </c>
      <c r="N33" s="13">
        <v>2</v>
      </c>
      <c r="O33" s="13" t="s">
        <v>326</v>
      </c>
      <c r="P33" s="13" t="s">
        <v>259</v>
      </c>
      <c r="Q33" s="13">
        <v>2</v>
      </c>
      <c r="R33" s="13">
        <v>72</v>
      </c>
      <c r="S33" s="13" t="s">
        <v>327</v>
      </c>
      <c r="T33" s="13" t="s">
        <v>259</v>
      </c>
      <c r="U33" s="13">
        <v>3</v>
      </c>
      <c r="V33" s="13">
        <v>72</v>
      </c>
    </row>
    <row r="34" spans="1:23">
      <c r="B34" s="16"/>
      <c r="C34" s="66" t="s">
        <v>31</v>
      </c>
      <c r="D34" s="67" t="s">
        <v>32</v>
      </c>
      <c r="E34" s="67" t="s">
        <v>2</v>
      </c>
      <c r="F34" s="67" t="s">
        <v>308</v>
      </c>
      <c r="G34" s="67">
        <v>5</v>
      </c>
      <c r="H34" s="81" t="s">
        <v>398</v>
      </c>
      <c r="I34" s="13" t="s">
        <v>324</v>
      </c>
      <c r="J34" s="13" t="s">
        <v>253</v>
      </c>
      <c r="K34" s="13">
        <v>2</v>
      </c>
      <c r="L34" s="13" t="s">
        <v>325</v>
      </c>
      <c r="M34" s="13" t="s">
        <v>253</v>
      </c>
      <c r="N34" s="13">
        <v>3</v>
      </c>
      <c r="O34" s="13" t="s">
        <v>326</v>
      </c>
      <c r="P34" s="13" t="s">
        <v>254</v>
      </c>
      <c r="Q34" s="13">
        <v>2</v>
      </c>
      <c r="R34" s="13">
        <v>68</v>
      </c>
      <c r="S34" s="13" t="s">
        <v>327</v>
      </c>
      <c r="T34" s="13" t="s">
        <v>254</v>
      </c>
      <c r="U34" s="13">
        <v>3</v>
      </c>
      <c r="V34" s="13">
        <v>68</v>
      </c>
    </row>
    <row r="35" spans="1:23">
      <c r="B35" s="16"/>
      <c r="C35" s="63" t="s">
        <v>33</v>
      </c>
      <c r="D35" s="64" t="s">
        <v>34</v>
      </c>
      <c r="E35" s="64" t="s">
        <v>2</v>
      </c>
      <c r="F35" s="64" t="s">
        <v>308</v>
      </c>
      <c r="G35" s="64">
        <v>5</v>
      </c>
      <c r="H35" s="82" t="s">
        <v>398</v>
      </c>
      <c r="I35" s="13" t="s">
        <v>324</v>
      </c>
      <c r="J35" s="13" t="s">
        <v>259</v>
      </c>
      <c r="K35" s="13">
        <v>2</v>
      </c>
      <c r="L35" s="13" t="s">
        <v>325</v>
      </c>
      <c r="M35" s="13" t="s">
        <v>259</v>
      </c>
      <c r="N35" s="13">
        <v>3</v>
      </c>
      <c r="O35" s="13" t="s">
        <v>326</v>
      </c>
      <c r="P35" s="13" t="s">
        <v>259</v>
      </c>
      <c r="Q35" s="13">
        <v>2</v>
      </c>
      <c r="R35" s="13">
        <v>68</v>
      </c>
      <c r="S35" s="13" t="s">
        <v>327</v>
      </c>
      <c r="T35" s="13" t="s">
        <v>259</v>
      </c>
      <c r="U35" s="13">
        <v>3</v>
      </c>
      <c r="V35" s="13">
        <v>68</v>
      </c>
    </row>
    <row r="36" spans="1:23">
      <c r="B36" s="16"/>
      <c r="C36" s="66" t="s">
        <v>35</v>
      </c>
      <c r="D36" s="67" t="s">
        <v>36</v>
      </c>
      <c r="E36" s="67" t="s">
        <v>2</v>
      </c>
      <c r="F36" s="67" t="s">
        <v>308</v>
      </c>
      <c r="G36" s="67">
        <v>5</v>
      </c>
      <c r="H36" s="81" t="s">
        <v>398</v>
      </c>
      <c r="I36" s="13" t="s">
        <v>324</v>
      </c>
      <c r="J36" s="13" t="s">
        <v>259</v>
      </c>
      <c r="K36" s="13">
        <v>3</v>
      </c>
      <c r="L36" s="13" t="s">
        <v>325</v>
      </c>
      <c r="M36" s="13" t="s">
        <v>259</v>
      </c>
      <c r="N36" s="13">
        <v>2</v>
      </c>
      <c r="O36" s="13" t="s">
        <v>326</v>
      </c>
      <c r="P36" s="13" t="s">
        <v>259</v>
      </c>
      <c r="Q36" s="13">
        <v>3</v>
      </c>
      <c r="R36" s="13">
        <v>68</v>
      </c>
      <c r="S36" s="13" t="s">
        <v>327</v>
      </c>
      <c r="T36" s="13" t="s">
        <v>259</v>
      </c>
      <c r="U36" s="13">
        <v>2</v>
      </c>
      <c r="V36" s="13">
        <v>68</v>
      </c>
    </row>
    <row r="37" spans="1:23">
      <c r="B37" s="16"/>
      <c r="C37" s="63" t="s">
        <v>37</v>
      </c>
      <c r="D37" s="64" t="s">
        <v>38</v>
      </c>
      <c r="E37" s="64" t="s">
        <v>2</v>
      </c>
      <c r="F37" s="64" t="s">
        <v>308</v>
      </c>
      <c r="G37" s="64">
        <v>5</v>
      </c>
      <c r="H37" s="82" t="s">
        <v>398</v>
      </c>
      <c r="I37" s="13" t="s">
        <v>324</v>
      </c>
      <c r="J37" s="13" t="s">
        <v>257</v>
      </c>
      <c r="K37" s="13">
        <v>3</v>
      </c>
      <c r="L37" s="13" t="s">
        <v>325</v>
      </c>
      <c r="M37" s="13" t="s">
        <v>257</v>
      </c>
      <c r="N37" s="13">
        <v>2</v>
      </c>
      <c r="O37" s="13" t="s">
        <v>326</v>
      </c>
      <c r="P37" s="13" t="s">
        <v>257</v>
      </c>
      <c r="Q37" s="13">
        <v>3</v>
      </c>
      <c r="R37" s="13">
        <v>70</v>
      </c>
      <c r="S37" s="13" t="s">
        <v>327</v>
      </c>
      <c r="T37" s="13" t="s">
        <v>257</v>
      </c>
      <c r="U37" s="13">
        <v>2</v>
      </c>
      <c r="V37" s="13">
        <v>70</v>
      </c>
    </row>
    <row r="38" spans="1:23">
      <c r="B38" s="16"/>
      <c r="C38" s="66" t="s">
        <v>39</v>
      </c>
      <c r="D38" s="67" t="s">
        <v>40</v>
      </c>
      <c r="E38" s="67" t="s">
        <v>2</v>
      </c>
      <c r="F38" s="67" t="s">
        <v>308</v>
      </c>
      <c r="G38" s="67">
        <v>5</v>
      </c>
      <c r="H38" s="81" t="s">
        <v>398</v>
      </c>
      <c r="I38" s="13" t="s">
        <v>324</v>
      </c>
      <c r="J38" s="13" t="s">
        <v>259</v>
      </c>
      <c r="K38" s="13">
        <v>2</v>
      </c>
      <c r="L38" s="13" t="s">
        <v>325</v>
      </c>
      <c r="M38" s="13" t="s">
        <v>259</v>
      </c>
      <c r="N38" s="13">
        <v>3</v>
      </c>
      <c r="O38" s="13" t="s">
        <v>326</v>
      </c>
      <c r="P38" s="13" t="s">
        <v>258</v>
      </c>
      <c r="Q38" s="13">
        <v>2</v>
      </c>
      <c r="R38" s="13">
        <v>65</v>
      </c>
      <c r="S38" s="13" t="s">
        <v>327</v>
      </c>
      <c r="T38" s="13" t="s">
        <v>258</v>
      </c>
      <c r="U38" s="13">
        <v>3</v>
      </c>
      <c r="V38" s="13">
        <v>65</v>
      </c>
    </row>
    <row r="39" spans="1:23">
      <c r="A39" s="103">
        <v>45931</v>
      </c>
      <c r="B39" s="16" t="s">
        <v>466</v>
      </c>
      <c r="C39" s="63" t="s">
        <v>41</v>
      </c>
      <c r="D39" s="64" t="s">
        <v>42</v>
      </c>
      <c r="E39" s="64" t="s">
        <v>2</v>
      </c>
      <c r="F39" s="64" t="s">
        <v>308</v>
      </c>
      <c r="G39" s="64">
        <v>5</v>
      </c>
      <c r="H39" s="82" t="s">
        <v>467</v>
      </c>
      <c r="I39" s="13" t="s">
        <v>324</v>
      </c>
      <c r="J39" s="13" t="s">
        <v>259</v>
      </c>
      <c r="K39" s="13">
        <v>1</v>
      </c>
      <c r="L39" s="13" t="s">
        <v>325</v>
      </c>
      <c r="M39" s="13" t="s">
        <v>259</v>
      </c>
      <c r="N39" s="13">
        <v>4</v>
      </c>
      <c r="O39" s="13" t="s">
        <v>326</v>
      </c>
      <c r="P39" s="13" t="s">
        <v>257</v>
      </c>
      <c r="Q39" s="13">
        <v>1</v>
      </c>
      <c r="R39" s="13">
        <v>77</v>
      </c>
      <c r="S39" s="13" t="s">
        <v>327</v>
      </c>
      <c r="T39" s="13" t="s">
        <v>257</v>
      </c>
      <c r="U39" s="13">
        <v>4</v>
      </c>
      <c r="V39" s="13">
        <v>77</v>
      </c>
      <c r="W39" t="s">
        <v>468</v>
      </c>
    </row>
    <row r="40" spans="1:23">
      <c r="B40" s="16"/>
      <c r="C40" s="66" t="s">
        <v>43</v>
      </c>
      <c r="D40" s="67" t="s">
        <v>44</v>
      </c>
      <c r="E40" s="67" t="s">
        <v>2</v>
      </c>
      <c r="F40" s="67" t="s">
        <v>308</v>
      </c>
      <c r="G40" s="67">
        <v>4</v>
      </c>
      <c r="H40" s="81" t="s">
        <v>410</v>
      </c>
      <c r="I40" s="13" t="s">
        <v>324</v>
      </c>
      <c r="J40" s="13" t="s">
        <v>259</v>
      </c>
      <c r="K40" s="13">
        <v>2</v>
      </c>
      <c r="L40" s="13" t="s">
        <v>325</v>
      </c>
      <c r="M40" s="13" t="s">
        <v>259</v>
      </c>
      <c r="N40" s="13">
        <v>2</v>
      </c>
      <c r="O40" s="13" t="s">
        <v>326</v>
      </c>
      <c r="P40" s="13" t="s">
        <v>259</v>
      </c>
      <c r="Q40" s="13">
        <v>2</v>
      </c>
      <c r="R40" s="13">
        <v>70</v>
      </c>
      <c r="S40" s="13" t="s">
        <v>327</v>
      </c>
      <c r="T40" s="13" t="s">
        <v>259</v>
      </c>
      <c r="U40" s="13">
        <v>2</v>
      </c>
      <c r="V40" s="13">
        <v>70</v>
      </c>
    </row>
    <row r="41" spans="1:23">
      <c r="B41" s="16"/>
      <c r="C41" s="63" t="s">
        <v>45</v>
      </c>
      <c r="D41" s="64" t="s">
        <v>46</v>
      </c>
      <c r="E41" s="64" t="s">
        <v>2</v>
      </c>
      <c r="F41" s="64" t="s">
        <v>308</v>
      </c>
      <c r="G41" s="64">
        <v>5</v>
      </c>
      <c r="H41" s="82" t="s">
        <v>398</v>
      </c>
      <c r="I41" s="13" t="s">
        <v>324</v>
      </c>
      <c r="J41" s="13" t="s">
        <v>253</v>
      </c>
      <c r="K41" s="13">
        <v>2</v>
      </c>
      <c r="L41" s="13" t="s">
        <v>325</v>
      </c>
      <c r="M41" s="13" t="s">
        <v>253</v>
      </c>
      <c r="N41" s="13">
        <v>3</v>
      </c>
      <c r="O41" s="13" t="s">
        <v>326</v>
      </c>
      <c r="P41" s="13" t="s">
        <v>254</v>
      </c>
      <c r="Q41" s="13">
        <v>2</v>
      </c>
      <c r="R41" s="13">
        <v>67</v>
      </c>
      <c r="S41" s="13" t="s">
        <v>327</v>
      </c>
      <c r="T41" s="13" t="s">
        <v>254</v>
      </c>
      <c r="U41" s="13">
        <v>3</v>
      </c>
      <c r="V41" s="13">
        <v>67</v>
      </c>
    </row>
    <row r="42" spans="1:23">
      <c r="B42" s="16"/>
      <c r="C42" s="66" t="s">
        <v>49</v>
      </c>
      <c r="D42" s="67" t="s">
        <v>50</v>
      </c>
      <c r="E42" s="67" t="s">
        <v>2</v>
      </c>
      <c r="F42" s="67" t="s">
        <v>308</v>
      </c>
      <c r="G42" s="67">
        <v>4</v>
      </c>
      <c r="H42" s="81" t="s">
        <v>410</v>
      </c>
      <c r="I42" s="13" t="s">
        <v>324</v>
      </c>
      <c r="J42" s="13" t="s">
        <v>254</v>
      </c>
      <c r="K42" s="13">
        <v>2</v>
      </c>
      <c r="L42" s="13" t="s">
        <v>325</v>
      </c>
      <c r="M42" s="13" t="s">
        <v>254</v>
      </c>
      <c r="N42" s="13">
        <v>2</v>
      </c>
      <c r="O42" s="13" t="s">
        <v>326</v>
      </c>
      <c r="P42" s="13" t="s">
        <v>254</v>
      </c>
      <c r="Q42" s="13">
        <v>2</v>
      </c>
      <c r="R42" s="13">
        <v>75</v>
      </c>
      <c r="S42" s="13" t="s">
        <v>327</v>
      </c>
      <c r="T42" s="13" t="s">
        <v>254</v>
      </c>
      <c r="U42" s="13">
        <v>2</v>
      </c>
      <c r="V42" s="13">
        <v>75</v>
      </c>
    </row>
    <row r="43" spans="1:23">
      <c r="A43" s="103">
        <v>46142</v>
      </c>
      <c r="B43" s="16" t="s">
        <v>436</v>
      </c>
      <c r="C43" s="125" t="s">
        <v>51</v>
      </c>
      <c r="D43" s="126" t="s">
        <v>52</v>
      </c>
      <c r="E43" s="126" t="s">
        <v>2</v>
      </c>
      <c r="F43" s="126" t="s">
        <v>308</v>
      </c>
      <c r="G43" s="126">
        <v>5</v>
      </c>
      <c r="H43" s="163"/>
      <c r="I43" s="128" t="s">
        <v>324</v>
      </c>
      <c r="J43" s="128" t="s">
        <v>257</v>
      </c>
      <c r="K43" s="128">
        <v>2</v>
      </c>
      <c r="L43" s="128" t="s">
        <v>325</v>
      </c>
      <c r="M43" s="128" t="s">
        <v>257</v>
      </c>
      <c r="N43" s="128">
        <v>3</v>
      </c>
      <c r="O43" s="128" t="s">
        <v>326</v>
      </c>
      <c r="P43" s="128"/>
      <c r="Q43" s="128"/>
      <c r="R43" s="128"/>
      <c r="S43" s="128" t="s">
        <v>327</v>
      </c>
      <c r="T43" s="128" t="s">
        <v>257</v>
      </c>
      <c r="U43" s="128">
        <v>5</v>
      </c>
      <c r="V43" s="128">
        <v>72</v>
      </c>
    </row>
    <row r="44" spans="1:23">
      <c r="B44" s="16"/>
      <c r="C44" s="66" t="s">
        <v>53</v>
      </c>
      <c r="D44" s="67" t="s">
        <v>54</v>
      </c>
      <c r="E44" s="67" t="s">
        <v>2</v>
      </c>
      <c r="F44" s="67" t="s">
        <v>308</v>
      </c>
      <c r="G44" s="67">
        <v>4</v>
      </c>
      <c r="H44" s="81" t="s">
        <v>410</v>
      </c>
      <c r="I44" s="13" t="s">
        <v>324</v>
      </c>
      <c r="J44" s="13" t="s">
        <v>259</v>
      </c>
      <c r="K44" s="13">
        <v>2</v>
      </c>
      <c r="L44" s="13" t="s">
        <v>325</v>
      </c>
      <c r="M44" s="13" t="s">
        <v>259</v>
      </c>
      <c r="N44" s="13">
        <v>2</v>
      </c>
      <c r="O44" s="13" t="s">
        <v>326</v>
      </c>
      <c r="P44" s="13" t="s">
        <v>259</v>
      </c>
      <c r="Q44" s="13">
        <v>2</v>
      </c>
      <c r="R44" s="13">
        <v>71</v>
      </c>
      <c r="S44" s="13" t="s">
        <v>327</v>
      </c>
      <c r="T44" s="13" t="s">
        <v>259</v>
      </c>
      <c r="U44" s="13">
        <v>2</v>
      </c>
      <c r="V44" s="13">
        <v>71</v>
      </c>
    </row>
    <row r="45" spans="1:23">
      <c r="A45" s="157">
        <v>46081</v>
      </c>
      <c r="B45" s="102" t="s">
        <v>436</v>
      </c>
      <c r="C45" s="139" t="s">
        <v>306</v>
      </c>
      <c r="D45" s="139" t="s">
        <v>394</v>
      </c>
      <c r="E45" s="139" t="s">
        <v>305</v>
      </c>
      <c r="F45" s="139" t="s">
        <v>308</v>
      </c>
      <c r="G45" s="139"/>
      <c r="H45" s="140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</row>
    <row r="46" spans="1:23">
      <c r="C46" s="66"/>
      <c r="D46" s="84"/>
      <c r="E46" s="84"/>
      <c r="F46" s="84"/>
      <c r="G46" s="84"/>
      <c r="H46" s="85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23">
      <c r="C47" s="57"/>
      <c r="D47" s="58"/>
      <c r="E47" s="58"/>
      <c r="F47" s="58"/>
      <c r="G47" s="58"/>
      <c r="H47" s="86"/>
    </row>
    <row r="48" spans="1:23">
      <c r="C48" s="75"/>
      <c r="D48" s="76"/>
      <c r="E48" s="76"/>
      <c r="F48" s="76"/>
      <c r="G48" s="76"/>
      <c r="H48" s="87"/>
    </row>
    <row r="49" spans="2:15" s="3" customFormat="1">
      <c r="C49" s="77"/>
      <c r="D49" s="78"/>
      <c r="E49" s="78"/>
      <c r="F49" s="64" t="s">
        <v>309</v>
      </c>
      <c r="G49" s="79"/>
      <c r="H49" s="88"/>
      <c r="I49" s="9" t="s">
        <v>300</v>
      </c>
      <c r="J49" s="9" t="s">
        <v>358</v>
      </c>
      <c r="K49" s="9" t="s">
        <v>255</v>
      </c>
      <c r="L49" s="9" t="s">
        <v>342</v>
      </c>
      <c r="M49" s="9" t="s">
        <v>358</v>
      </c>
      <c r="N49" s="9" t="s">
        <v>255</v>
      </c>
      <c r="O49" s="9" t="s">
        <v>256</v>
      </c>
    </row>
    <row r="50" spans="2:15">
      <c r="B50" s="16"/>
      <c r="C50" s="66" t="s">
        <v>55</v>
      </c>
      <c r="D50" s="67" t="s">
        <v>56</v>
      </c>
      <c r="E50" s="67" t="s">
        <v>57</v>
      </c>
      <c r="F50" s="67" t="s">
        <v>309</v>
      </c>
      <c r="G50" s="67">
        <v>5</v>
      </c>
      <c r="H50" s="89" t="s">
        <v>425</v>
      </c>
      <c r="I50" s="13" t="s">
        <v>328</v>
      </c>
      <c r="J50" s="13" t="s">
        <v>259</v>
      </c>
      <c r="K50" s="13">
        <v>5</v>
      </c>
      <c r="L50" s="13" t="s">
        <v>331</v>
      </c>
      <c r="M50" s="13" t="s">
        <v>259</v>
      </c>
      <c r="N50" s="13">
        <v>5</v>
      </c>
      <c r="O50" s="13">
        <v>70</v>
      </c>
    </row>
    <row r="51" spans="2:15">
      <c r="B51" s="16"/>
      <c r="C51" s="63" t="s">
        <v>58</v>
      </c>
      <c r="D51" s="64" t="s">
        <v>59</v>
      </c>
      <c r="E51" s="64" t="s">
        <v>57</v>
      </c>
      <c r="F51" s="64" t="s">
        <v>309</v>
      </c>
      <c r="G51" s="64">
        <v>4</v>
      </c>
      <c r="H51" s="83" t="s">
        <v>426</v>
      </c>
      <c r="I51" s="13" t="s">
        <v>328</v>
      </c>
      <c r="J51" s="13" t="s">
        <v>254</v>
      </c>
      <c r="K51" s="13">
        <v>4</v>
      </c>
      <c r="L51" s="13" t="s">
        <v>331</v>
      </c>
      <c r="M51" s="13" t="s">
        <v>254</v>
      </c>
      <c r="N51" s="13">
        <v>4</v>
      </c>
      <c r="O51" s="13">
        <v>70</v>
      </c>
    </row>
    <row r="52" spans="2:15">
      <c r="B52" s="16"/>
      <c r="C52" s="66" t="s">
        <v>60</v>
      </c>
      <c r="D52" s="67" t="s">
        <v>61</v>
      </c>
      <c r="E52" s="67" t="s">
        <v>57</v>
      </c>
      <c r="F52" s="67" t="s">
        <v>309</v>
      </c>
      <c r="G52" s="67">
        <v>4</v>
      </c>
      <c r="H52" s="89" t="s">
        <v>426</v>
      </c>
      <c r="I52" s="13" t="s">
        <v>328</v>
      </c>
      <c r="J52" s="13" t="s">
        <v>257</v>
      </c>
      <c r="K52" s="13">
        <v>4</v>
      </c>
      <c r="L52" s="13" t="s">
        <v>331</v>
      </c>
      <c r="M52" s="13" t="s">
        <v>257</v>
      </c>
      <c r="N52" s="13">
        <v>4</v>
      </c>
      <c r="O52" s="13">
        <v>68</v>
      </c>
    </row>
    <row r="53" spans="2:15">
      <c r="C53" s="63"/>
      <c r="D53" s="74"/>
      <c r="E53" s="74"/>
      <c r="F53" s="74"/>
      <c r="G53" s="74"/>
      <c r="H53" s="90"/>
      <c r="I53" s="2"/>
    </row>
    <row r="54" spans="2:15">
      <c r="C54" s="75"/>
      <c r="D54" s="76"/>
      <c r="E54" s="76"/>
      <c r="F54" s="76"/>
      <c r="G54" s="76"/>
      <c r="H54" s="91"/>
      <c r="I54" s="2"/>
    </row>
    <row r="55" spans="2:15" s="3" customFormat="1">
      <c r="C55" s="77"/>
      <c r="D55" s="78"/>
      <c r="E55" s="78"/>
      <c r="F55" s="64" t="s">
        <v>310</v>
      </c>
      <c r="G55" s="79"/>
      <c r="H55" s="92"/>
      <c r="I55" s="9" t="s">
        <v>249</v>
      </c>
      <c r="J55" s="9" t="s">
        <v>358</v>
      </c>
      <c r="K55" s="9" t="s">
        <v>255</v>
      </c>
      <c r="L55" s="9" t="s">
        <v>250</v>
      </c>
      <c r="M55" s="9" t="s">
        <v>358</v>
      </c>
      <c r="N55" s="9" t="s">
        <v>255</v>
      </c>
    </row>
    <row r="56" spans="2:15">
      <c r="B56" s="16"/>
      <c r="C56" s="66" t="s">
        <v>62</v>
      </c>
      <c r="D56" s="67" t="s">
        <v>63</v>
      </c>
      <c r="E56" s="67" t="s">
        <v>64</v>
      </c>
      <c r="F56" s="67" t="s">
        <v>310</v>
      </c>
      <c r="G56" s="67">
        <v>3</v>
      </c>
      <c r="H56" s="89" t="s">
        <v>427</v>
      </c>
      <c r="I56" s="13" t="s">
        <v>329</v>
      </c>
      <c r="J56" s="13">
        <v>13</v>
      </c>
      <c r="K56" s="13">
        <v>3</v>
      </c>
      <c r="L56" s="13" t="s">
        <v>332</v>
      </c>
      <c r="M56" s="13">
        <v>13</v>
      </c>
      <c r="N56" s="13">
        <v>3</v>
      </c>
    </row>
    <row r="57" spans="2:15">
      <c r="B57" s="16"/>
      <c r="C57" s="63" t="s">
        <v>65</v>
      </c>
      <c r="D57" s="64" t="s">
        <v>66</v>
      </c>
      <c r="E57" s="64" t="s">
        <v>64</v>
      </c>
      <c r="F57" s="64" t="s">
        <v>310</v>
      </c>
      <c r="G57" s="64">
        <v>3</v>
      </c>
      <c r="H57" s="83" t="s">
        <v>427</v>
      </c>
      <c r="I57" s="13" t="s">
        <v>329</v>
      </c>
      <c r="J57" s="13">
        <v>7</v>
      </c>
      <c r="K57" s="13">
        <v>3</v>
      </c>
      <c r="L57" s="13" t="s">
        <v>332</v>
      </c>
      <c r="M57" s="13">
        <v>7</v>
      </c>
      <c r="N57" s="13">
        <v>3</v>
      </c>
    </row>
    <row r="58" spans="2:15">
      <c r="C58" s="66"/>
      <c r="D58" s="84"/>
      <c r="E58" s="84"/>
      <c r="F58" s="84"/>
      <c r="G58" s="84"/>
      <c r="H58" s="93"/>
      <c r="I58" s="2"/>
    </row>
    <row r="59" spans="2:15">
      <c r="C59" s="57"/>
      <c r="D59" s="58"/>
      <c r="E59" s="58"/>
      <c r="F59" s="58"/>
      <c r="G59" s="58"/>
      <c r="H59" s="94"/>
      <c r="I59" s="2"/>
    </row>
    <row r="60" spans="2:15" s="3" customFormat="1">
      <c r="C60" s="60"/>
      <c r="D60" s="61"/>
      <c r="E60" s="61"/>
      <c r="F60" s="67" t="s">
        <v>311</v>
      </c>
      <c r="G60" s="95"/>
      <c r="H60" s="96"/>
      <c r="I60" s="9" t="s">
        <v>300</v>
      </c>
      <c r="J60" s="9" t="s">
        <v>358</v>
      </c>
      <c r="K60" s="9" t="s">
        <v>255</v>
      </c>
      <c r="L60" s="9" t="s">
        <v>342</v>
      </c>
      <c r="M60" s="9" t="s">
        <v>358</v>
      </c>
      <c r="N60" s="9" t="s">
        <v>255</v>
      </c>
      <c r="O60" s="9" t="s">
        <v>256</v>
      </c>
    </row>
    <row r="61" spans="2:15">
      <c r="B61" s="16"/>
      <c r="C61" s="63" t="s">
        <v>67</v>
      </c>
      <c r="D61" s="64" t="s">
        <v>68</v>
      </c>
      <c r="E61" s="64" t="s">
        <v>69</v>
      </c>
      <c r="F61" s="64" t="s">
        <v>311</v>
      </c>
      <c r="G61" s="64">
        <v>5</v>
      </c>
      <c r="H61" s="83" t="s">
        <v>399</v>
      </c>
      <c r="I61" s="13" t="s">
        <v>330</v>
      </c>
      <c r="J61" s="13" t="s">
        <v>254</v>
      </c>
      <c r="K61" s="13">
        <v>5</v>
      </c>
      <c r="L61" s="13" t="s">
        <v>331</v>
      </c>
      <c r="M61" s="13" t="s">
        <v>254</v>
      </c>
      <c r="N61" s="13">
        <v>5</v>
      </c>
      <c r="O61" s="13">
        <v>68</v>
      </c>
    </row>
    <row r="62" spans="2:15">
      <c r="B62" s="16"/>
      <c r="C62" s="66" t="s">
        <v>70</v>
      </c>
      <c r="D62" s="67" t="s">
        <v>71</v>
      </c>
      <c r="E62" s="67" t="s">
        <v>69</v>
      </c>
      <c r="F62" s="67" t="s">
        <v>311</v>
      </c>
      <c r="G62" s="67">
        <v>5</v>
      </c>
      <c r="H62" s="89" t="s">
        <v>399</v>
      </c>
      <c r="I62" s="13" t="s">
        <v>330</v>
      </c>
      <c r="J62" s="13" t="s">
        <v>257</v>
      </c>
      <c r="K62" s="13">
        <v>5</v>
      </c>
      <c r="L62" s="13" t="s">
        <v>331</v>
      </c>
      <c r="M62" s="13" t="s">
        <v>257</v>
      </c>
      <c r="N62" s="13">
        <v>5</v>
      </c>
      <c r="O62" s="13">
        <v>69</v>
      </c>
    </row>
    <row r="63" spans="2:15">
      <c r="B63" s="16"/>
      <c r="C63" s="63" t="s">
        <v>72</v>
      </c>
      <c r="D63" s="64" t="s">
        <v>73</v>
      </c>
      <c r="E63" s="64" t="s">
        <v>69</v>
      </c>
      <c r="F63" s="64" t="s">
        <v>311</v>
      </c>
      <c r="G63" s="64">
        <v>4</v>
      </c>
      <c r="H63" s="83" t="s">
        <v>412</v>
      </c>
      <c r="I63" s="13" t="s">
        <v>330</v>
      </c>
      <c r="J63" s="13" t="s">
        <v>254</v>
      </c>
      <c r="K63" s="13">
        <v>4</v>
      </c>
      <c r="L63" s="13" t="s">
        <v>331</v>
      </c>
      <c r="M63" s="13" t="s">
        <v>259</v>
      </c>
      <c r="N63" s="13">
        <v>4</v>
      </c>
      <c r="O63" s="13">
        <v>73</v>
      </c>
    </row>
    <row r="64" spans="2:15">
      <c r="B64" s="16"/>
      <c r="C64" s="66" t="s">
        <v>74</v>
      </c>
      <c r="D64" s="67" t="s">
        <v>75</v>
      </c>
      <c r="E64" s="67" t="s">
        <v>69</v>
      </c>
      <c r="F64" s="67" t="s">
        <v>311</v>
      </c>
      <c r="G64" s="67">
        <v>5</v>
      </c>
      <c r="H64" s="89" t="s">
        <v>399</v>
      </c>
      <c r="I64" s="13" t="s">
        <v>330</v>
      </c>
      <c r="J64" s="13" t="s">
        <v>261</v>
      </c>
      <c r="K64" s="13">
        <v>5</v>
      </c>
      <c r="L64" s="13" t="s">
        <v>331</v>
      </c>
      <c r="M64" s="13" t="s">
        <v>254</v>
      </c>
      <c r="N64" s="13">
        <v>5</v>
      </c>
      <c r="O64" s="13">
        <v>70</v>
      </c>
    </row>
    <row r="65" spans="1:16">
      <c r="B65" s="16"/>
      <c r="C65" s="63" t="s">
        <v>76</v>
      </c>
      <c r="D65" s="64" t="s">
        <v>77</v>
      </c>
      <c r="E65" s="64" t="s">
        <v>69</v>
      </c>
      <c r="F65" s="64" t="s">
        <v>311</v>
      </c>
      <c r="G65" s="64">
        <v>4</v>
      </c>
      <c r="H65" s="83" t="s">
        <v>412</v>
      </c>
      <c r="I65" s="13" t="s">
        <v>330</v>
      </c>
      <c r="J65" s="13" t="s">
        <v>257</v>
      </c>
      <c r="K65" s="13">
        <v>4</v>
      </c>
      <c r="L65" s="13" t="s">
        <v>331</v>
      </c>
      <c r="M65" s="13" t="s">
        <v>257</v>
      </c>
      <c r="N65" s="13">
        <v>4</v>
      </c>
      <c r="O65" s="13">
        <v>68</v>
      </c>
    </row>
    <row r="66" spans="1:16">
      <c r="C66" s="66"/>
      <c r="D66" s="84"/>
      <c r="E66" s="84"/>
      <c r="F66" s="84"/>
      <c r="G66" s="84"/>
      <c r="H66" s="93"/>
    </row>
    <row r="67" spans="1:16">
      <c r="C67" s="57"/>
      <c r="D67" s="58"/>
      <c r="E67" s="58"/>
      <c r="F67" s="58"/>
      <c r="G67" s="58"/>
      <c r="H67" s="94"/>
      <c r="I67" s="2"/>
    </row>
    <row r="68" spans="1:16" s="3" customFormat="1">
      <c r="C68" s="60"/>
      <c r="D68" s="61"/>
      <c r="E68" s="61"/>
      <c r="F68" s="67" t="s">
        <v>312</v>
      </c>
      <c r="G68" s="95"/>
      <c r="H68" s="96"/>
      <c r="I68" s="9" t="s">
        <v>251</v>
      </c>
      <c r="J68" s="9" t="s">
        <v>358</v>
      </c>
      <c r="K68" s="9" t="s">
        <v>255</v>
      </c>
    </row>
    <row r="69" spans="1:16">
      <c r="B69" s="16"/>
      <c r="C69" s="63" t="s">
        <v>78</v>
      </c>
      <c r="D69" s="64" t="s">
        <v>79</v>
      </c>
      <c r="E69" s="64" t="s">
        <v>80</v>
      </c>
      <c r="F69" s="64" t="s">
        <v>312</v>
      </c>
      <c r="G69" s="64">
        <v>4</v>
      </c>
      <c r="H69" s="83" t="s">
        <v>430</v>
      </c>
      <c r="I69" s="13" t="s">
        <v>333</v>
      </c>
      <c r="J69" s="13" t="s">
        <v>259</v>
      </c>
      <c r="K69" s="13">
        <v>4</v>
      </c>
    </row>
    <row r="70" spans="1:16">
      <c r="B70" s="16"/>
      <c r="C70" s="66" t="s">
        <v>81</v>
      </c>
      <c r="D70" s="67" t="s">
        <v>82</v>
      </c>
      <c r="E70" s="67" t="s">
        <v>80</v>
      </c>
      <c r="F70" s="67" t="s">
        <v>312</v>
      </c>
      <c r="G70" s="67">
        <v>4</v>
      </c>
      <c r="H70" s="89" t="s">
        <v>430</v>
      </c>
      <c r="I70" s="13" t="s">
        <v>333</v>
      </c>
      <c r="J70" s="13" t="s">
        <v>259</v>
      </c>
      <c r="K70" s="13">
        <v>4</v>
      </c>
    </row>
    <row r="71" spans="1:16">
      <c r="A71" s="103">
        <v>45884</v>
      </c>
      <c r="B71" s="16" t="s">
        <v>461</v>
      </c>
      <c r="C71" s="125" t="s">
        <v>83</v>
      </c>
      <c r="D71" s="126" t="s">
        <v>84</v>
      </c>
      <c r="E71" s="126" t="s">
        <v>80</v>
      </c>
      <c r="F71" s="126" t="s">
        <v>312</v>
      </c>
      <c r="G71" s="126"/>
      <c r="H71" s="127"/>
      <c r="I71" s="128"/>
      <c r="J71" s="128"/>
      <c r="K71" s="128"/>
    </row>
    <row r="72" spans="1:16">
      <c r="C72" s="66"/>
      <c r="D72" s="84"/>
      <c r="E72" s="84"/>
      <c r="F72" s="84"/>
      <c r="G72" s="84"/>
      <c r="H72" s="93"/>
    </row>
    <row r="73" spans="1:16">
      <c r="C73" s="57"/>
      <c r="D73" s="58"/>
      <c r="E73" s="58"/>
      <c r="F73" s="58"/>
      <c r="G73" s="58"/>
      <c r="H73" s="94"/>
    </row>
    <row r="74" spans="1:16" s="3" customFormat="1">
      <c r="C74" s="60"/>
      <c r="D74" s="61"/>
      <c r="E74" s="61"/>
      <c r="F74" s="67" t="s">
        <v>336</v>
      </c>
      <c r="G74" s="95"/>
      <c r="H74" s="96"/>
      <c r="I74" s="9" t="s">
        <v>249</v>
      </c>
      <c r="J74" s="9" t="s">
        <v>358</v>
      </c>
      <c r="K74" s="9" t="s">
        <v>255</v>
      </c>
      <c r="L74" s="9" t="s">
        <v>363</v>
      </c>
      <c r="M74" s="9" t="s">
        <v>358</v>
      </c>
      <c r="N74" s="9" t="s">
        <v>255</v>
      </c>
      <c r="O74" s="9" t="s">
        <v>256</v>
      </c>
    </row>
    <row r="75" spans="1:16">
      <c r="B75" s="16"/>
      <c r="C75" s="63" t="s">
        <v>85</v>
      </c>
      <c r="D75" s="64" t="s">
        <v>86</v>
      </c>
      <c r="E75" s="64" t="s">
        <v>87</v>
      </c>
      <c r="F75" s="64" t="s">
        <v>336</v>
      </c>
      <c r="G75" s="64">
        <v>3</v>
      </c>
      <c r="H75" s="83" t="s">
        <v>428</v>
      </c>
      <c r="I75" s="13" t="s">
        <v>329</v>
      </c>
      <c r="J75" s="13">
        <v>7</v>
      </c>
      <c r="K75" s="13">
        <v>3</v>
      </c>
      <c r="L75" s="13" t="s">
        <v>335</v>
      </c>
      <c r="M75" s="13">
        <v>7</v>
      </c>
      <c r="N75" s="13">
        <v>3</v>
      </c>
      <c r="O75" s="13">
        <v>75</v>
      </c>
    </row>
    <row r="76" spans="1:16">
      <c r="A76" s="103">
        <v>46108</v>
      </c>
      <c r="B76" s="16" t="s">
        <v>508</v>
      </c>
      <c r="C76" s="129" t="s">
        <v>88</v>
      </c>
      <c r="D76" s="130" t="s">
        <v>89</v>
      </c>
      <c r="E76" s="130" t="s">
        <v>87</v>
      </c>
      <c r="F76" s="130" t="s">
        <v>336</v>
      </c>
      <c r="G76" s="130"/>
      <c r="H76" s="135"/>
      <c r="I76" s="128"/>
      <c r="J76" s="128"/>
      <c r="K76" s="128"/>
      <c r="L76" s="128"/>
      <c r="M76" s="128"/>
      <c r="N76" s="128"/>
      <c r="O76" s="160"/>
    </row>
    <row r="77" spans="1:16">
      <c r="B77" s="16"/>
      <c r="C77" s="63" t="s">
        <v>90</v>
      </c>
      <c r="D77" s="64" t="s">
        <v>91</v>
      </c>
      <c r="E77" s="64" t="s">
        <v>87</v>
      </c>
      <c r="F77" s="64" t="s">
        <v>336</v>
      </c>
      <c r="G77" s="64">
        <v>3</v>
      </c>
      <c r="H77" s="83" t="s">
        <v>428</v>
      </c>
      <c r="I77" s="13" t="s">
        <v>329</v>
      </c>
      <c r="J77" s="13">
        <v>9</v>
      </c>
      <c r="K77" s="13">
        <v>3</v>
      </c>
      <c r="L77" s="13" t="s">
        <v>335</v>
      </c>
      <c r="M77" s="13">
        <v>13</v>
      </c>
      <c r="N77" s="13">
        <v>3</v>
      </c>
      <c r="O77" s="13">
        <v>75</v>
      </c>
    </row>
    <row r="78" spans="1:16">
      <c r="B78" s="16"/>
      <c r="C78" s="66" t="s">
        <v>92</v>
      </c>
      <c r="D78" s="67" t="s">
        <v>93</v>
      </c>
      <c r="E78" s="67" t="s">
        <v>87</v>
      </c>
      <c r="F78" s="67" t="s">
        <v>336</v>
      </c>
      <c r="G78" s="67">
        <v>3</v>
      </c>
      <c r="H78" s="89" t="s">
        <v>428</v>
      </c>
      <c r="I78" s="13" t="s">
        <v>329</v>
      </c>
      <c r="J78" s="13" t="s">
        <v>269</v>
      </c>
      <c r="K78" s="13">
        <v>3</v>
      </c>
      <c r="L78" s="13" t="s">
        <v>335</v>
      </c>
      <c r="M78" s="13" t="s">
        <v>269</v>
      </c>
      <c r="N78" s="13">
        <v>3</v>
      </c>
      <c r="O78" s="13"/>
      <c r="P78" t="s">
        <v>273</v>
      </c>
    </row>
    <row r="79" spans="1:16">
      <c r="C79" s="64" t="s">
        <v>94</v>
      </c>
      <c r="D79" s="64" t="s">
        <v>95</v>
      </c>
      <c r="E79" s="64" t="s">
        <v>87</v>
      </c>
      <c r="F79" s="64" t="s">
        <v>336</v>
      </c>
      <c r="G79" s="64">
        <v>3</v>
      </c>
      <c r="H79" s="83" t="s">
        <v>428</v>
      </c>
      <c r="I79" s="13" t="s">
        <v>329</v>
      </c>
      <c r="J79" s="13">
        <v>9</v>
      </c>
      <c r="K79" s="13">
        <v>3</v>
      </c>
      <c r="L79" s="13" t="s">
        <v>335</v>
      </c>
      <c r="M79" s="13">
        <v>9</v>
      </c>
      <c r="N79" s="13">
        <v>3</v>
      </c>
      <c r="O79" s="13">
        <v>75</v>
      </c>
    </row>
    <row r="80" spans="1:16">
      <c r="A80" s="101"/>
      <c r="B80" s="101"/>
      <c r="C80" s="67" t="s">
        <v>304</v>
      </c>
      <c r="D80" s="67" t="s">
        <v>395</v>
      </c>
      <c r="E80" s="67" t="s">
        <v>303</v>
      </c>
      <c r="F80" s="67" t="s">
        <v>336</v>
      </c>
      <c r="G80" s="67">
        <v>3</v>
      </c>
      <c r="H80" s="89" t="s">
        <v>428</v>
      </c>
      <c r="I80" s="13" t="s">
        <v>329</v>
      </c>
      <c r="J80" s="13">
        <v>11</v>
      </c>
      <c r="K80" s="13">
        <v>3</v>
      </c>
      <c r="L80" s="13" t="s">
        <v>335</v>
      </c>
      <c r="M80" s="13">
        <v>11</v>
      </c>
      <c r="N80" s="13">
        <v>3</v>
      </c>
      <c r="O80" s="13">
        <v>75</v>
      </c>
    </row>
    <row r="81" spans="1:15">
      <c r="C81" s="63"/>
      <c r="D81" s="74"/>
      <c r="E81" s="74"/>
      <c r="F81" s="74"/>
      <c r="G81" s="74"/>
      <c r="H81" s="90"/>
    </row>
    <row r="82" spans="1:15">
      <c r="C82" s="75"/>
      <c r="D82" s="76"/>
      <c r="E82" s="76"/>
      <c r="F82" s="76"/>
      <c r="G82" s="76"/>
      <c r="H82" s="91"/>
      <c r="I82" s="2"/>
    </row>
    <row r="83" spans="1:15" s="3" customFormat="1">
      <c r="C83" s="77"/>
      <c r="D83" s="78"/>
      <c r="E83" s="78"/>
      <c r="F83" s="64"/>
      <c r="G83" s="79"/>
      <c r="H83" s="92"/>
      <c r="I83" s="9" t="s">
        <v>360</v>
      </c>
      <c r="J83" s="9" t="s">
        <v>357</v>
      </c>
      <c r="K83" s="9" t="s">
        <v>255</v>
      </c>
      <c r="L83" s="9" t="s">
        <v>362</v>
      </c>
      <c r="M83" s="9" t="s">
        <v>357</v>
      </c>
      <c r="N83" s="9" t="s">
        <v>255</v>
      </c>
      <c r="O83" s="9" t="s">
        <v>256</v>
      </c>
    </row>
    <row r="84" spans="1:15">
      <c r="B84" s="16"/>
      <c r="C84" s="66" t="s">
        <v>96</v>
      </c>
      <c r="D84" s="67" t="s">
        <v>97</v>
      </c>
      <c r="E84" s="67" t="s">
        <v>98</v>
      </c>
      <c r="F84" s="67" t="s">
        <v>336</v>
      </c>
      <c r="G84" s="67">
        <v>3</v>
      </c>
      <c r="H84" s="89" t="s">
        <v>428</v>
      </c>
      <c r="I84" s="13" t="s">
        <v>329</v>
      </c>
      <c r="J84" s="13">
        <v>17</v>
      </c>
      <c r="K84" s="13">
        <v>3</v>
      </c>
      <c r="L84" s="13" t="s">
        <v>334</v>
      </c>
      <c r="M84" s="13">
        <v>15</v>
      </c>
      <c r="N84" s="13">
        <v>3</v>
      </c>
      <c r="O84" s="12"/>
    </row>
    <row r="85" spans="1:15">
      <c r="B85" s="16"/>
      <c r="C85" s="63" t="s">
        <v>99</v>
      </c>
      <c r="D85" s="64" t="s">
        <v>100</v>
      </c>
      <c r="E85" s="64" t="s">
        <v>98</v>
      </c>
      <c r="F85" s="64" t="s">
        <v>336</v>
      </c>
      <c r="G85" s="64">
        <v>3</v>
      </c>
      <c r="H85" s="83" t="s">
        <v>428</v>
      </c>
      <c r="I85" s="13" t="s">
        <v>329</v>
      </c>
      <c r="J85" s="13">
        <v>9</v>
      </c>
      <c r="K85" s="13">
        <v>3</v>
      </c>
      <c r="L85" s="13" t="s">
        <v>334</v>
      </c>
      <c r="M85" s="13">
        <v>11</v>
      </c>
      <c r="N85" s="13">
        <v>3</v>
      </c>
      <c r="O85" s="12"/>
    </row>
    <row r="86" spans="1:15">
      <c r="C86" s="66"/>
      <c r="D86" s="84"/>
      <c r="E86" s="84"/>
      <c r="F86" s="84"/>
      <c r="G86" s="84"/>
      <c r="H86" s="93"/>
    </row>
    <row r="87" spans="1:15">
      <c r="C87" s="57"/>
      <c r="D87" s="58"/>
      <c r="E87" s="58"/>
      <c r="F87" s="58"/>
      <c r="G87" s="58"/>
      <c r="H87" s="94"/>
    </row>
    <row r="88" spans="1:15" s="3" customFormat="1">
      <c r="C88" s="60"/>
      <c r="D88" s="61"/>
      <c r="E88" s="61"/>
      <c r="F88" s="61"/>
      <c r="G88" s="61"/>
      <c r="H88" s="96"/>
      <c r="I88" s="9" t="s">
        <v>300</v>
      </c>
      <c r="J88" s="9" t="s">
        <v>358</v>
      </c>
      <c r="K88" s="9" t="s">
        <v>255</v>
      </c>
      <c r="L88" s="9" t="s">
        <v>342</v>
      </c>
      <c r="M88" s="9" t="s">
        <v>358</v>
      </c>
      <c r="N88" s="9" t="s">
        <v>255</v>
      </c>
      <c r="O88" s="9" t="s">
        <v>256</v>
      </c>
    </row>
    <row r="89" spans="1:15">
      <c r="B89" s="16"/>
      <c r="C89" s="63" t="s">
        <v>101</v>
      </c>
      <c r="D89" s="64" t="s">
        <v>102</v>
      </c>
      <c r="E89" s="64" t="s">
        <v>103</v>
      </c>
      <c r="F89" s="64" t="s">
        <v>319</v>
      </c>
      <c r="G89" s="64">
        <v>5</v>
      </c>
      <c r="H89" s="83" t="s">
        <v>419</v>
      </c>
      <c r="I89" s="13" t="s">
        <v>337</v>
      </c>
      <c r="J89" s="13" t="s">
        <v>253</v>
      </c>
      <c r="K89" s="13">
        <v>5</v>
      </c>
      <c r="L89" s="13" t="s">
        <v>340</v>
      </c>
      <c r="M89" s="13" t="s">
        <v>254</v>
      </c>
      <c r="N89" s="13">
        <v>5</v>
      </c>
      <c r="O89" s="13">
        <v>74</v>
      </c>
    </row>
    <row r="90" spans="1:15">
      <c r="B90" s="16"/>
      <c r="C90" s="66" t="s">
        <v>104</v>
      </c>
      <c r="D90" s="67" t="s">
        <v>105</v>
      </c>
      <c r="E90" s="67" t="s">
        <v>103</v>
      </c>
      <c r="F90" s="67" t="s">
        <v>318</v>
      </c>
      <c r="G90" s="67">
        <v>5</v>
      </c>
      <c r="H90" s="89" t="s">
        <v>420</v>
      </c>
      <c r="I90" s="13" t="s">
        <v>338</v>
      </c>
      <c r="J90" s="13" t="s">
        <v>259</v>
      </c>
      <c r="K90" s="13">
        <v>5</v>
      </c>
      <c r="L90" s="13" t="s">
        <v>341</v>
      </c>
      <c r="M90" s="13" t="s">
        <v>259</v>
      </c>
      <c r="N90" s="13">
        <v>5</v>
      </c>
      <c r="O90" s="13">
        <v>68.5</v>
      </c>
    </row>
    <row r="91" spans="1:15">
      <c r="B91" s="16"/>
      <c r="C91" s="63" t="s">
        <v>106</v>
      </c>
      <c r="D91" s="64" t="s">
        <v>107</v>
      </c>
      <c r="E91" s="64" t="s">
        <v>103</v>
      </c>
      <c r="F91" s="64" t="s">
        <v>318</v>
      </c>
      <c r="G91" s="64">
        <v>5</v>
      </c>
      <c r="H91" s="83" t="s">
        <v>420</v>
      </c>
      <c r="I91" s="13" t="s">
        <v>338</v>
      </c>
      <c r="J91" s="13" t="s">
        <v>253</v>
      </c>
      <c r="K91" s="13">
        <v>5</v>
      </c>
      <c r="L91" s="13" t="s">
        <v>341</v>
      </c>
      <c r="M91" s="13" t="s">
        <v>253</v>
      </c>
      <c r="N91" s="13">
        <v>5</v>
      </c>
      <c r="O91" s="13">
        <v>80</v>
      </c>
    </row>
    <row r="92" spans="1:15">
      <c r="B92" s="16"/>
      <c r="C92" s="66" t="s">
        <v>108</v>
      </c>
      <c r="D92" s="67" t="s">
        <v>109</v>
      </c>
      <c r="E92" s="67" t="s">
        <v>103</v>
      </c>
      <c r="F92" s="67" t="s">
        <v>313</v>
      </c>
      <c r="G92" s="67">
        <v>5</v>
      </c>
      <c r="H92" s="89" t="s">
        <v>423</v>
      </c>
      <c r="I92" s="13" t="s">
        <v>339</v>
      </c>
      <c r="J92" s="13" t="s">
        <v>253</v>
      </c>
      <c r="K92" s="13">
        <v>5</v>
      </c>
      <c r="L92" s="13" t="s">
        <v>331</v>
      </c>
      <c r="M92" s="13" t="s">
        <v>261</v>
      </c>
      <c r="N92" s="13">
        <v>5</v>
      </c>
      <c r="O92" s="13">
        <v>72</v>
      </c>
    </row>
    <row r="93" spans="1:15">
      <c r="A93" s="103">
        <v>46096</v>
      </c>
      <c r="B93" t="s">
        <v>436</v>
      </c>
      <c r="C93" s="152" t="s">
        <v>478</v>
      </c>
      <c r="D93" s="152" t="s">
        <v>479</v>
      </c>
      <c r="E93" s="152" t="s">
        <v>480</v>
      </c>
      <c r="F93" s="152" t="s">
        <v>313</v>
      </c>
      <c r="G93" s="152"/>
      <c r="H93" s="153"/>
      <c r="I93" s="128"/>
      <c r="J93" s="128"/>
      <c r="K93" s="128"/>
      <c r="L93" s="128"/>
      <c r="M93" s="128"/>
      <c r="N93" s="128"/>
      <c r="O93" s="128"/>
    </row>
    <row r="94" spans="1:15">
      <c r="A94" s="103">
        <v>45971</v>
      </c>
      <c r="B94" t="s">
        <v>477</v>
      </c>
      <c r="C94" s="12" t="s">
        <v>481</v>
      </c>
      <c r="D94" s="12" t="s">
        <v>498</v>
      </c>
      <c r="E94" s="12" t="s">
        <v>480</v>
      </c>
      <c r="F94" s="12" t="s">
        <v>313</v>
      </c>
      <c r="G94" s="12">
        <v>4</v>
      </c>
      <c r="H94" s="100" t="s">
        <v>484</v>
      </c>
      <c r="I94" s="13" t="s">
        <v>482</v>
      </c>
      <c r="J94" s="13" t="s">
        <v>259</v>
      </c>
      <c r="K94" s="13">
        <v>4</v>
      </c>
      <c r="L94" s="13" t="s">
        <v>483</v>
      </c>
      <c r="M94" s="13" t="s">
        <v>259</v>
      </c>
      <c r="N94" s="13">
        <v>4</v>
      </c>
      <c r="O94" s="13">
        <v>65</v>
      </c>
    </row>
    <row r="95" spans="1:15">
      <c r="A95" s="103">
        <v>46083</v>
      </c>
      <c r="B95" t="s">
        <v>439</v>
      </c>
      <c r="C95" s="147" t="s">
        <v>496</v>
      </c>
      <c r="D95" s="147" t="s">
        <v>497</v>
      </c>
      <c r="E95" s="12" t="s">
        <v>480</v>
      </c>
      <c r="F95" s="12" t="s">
        <v>313</v>
      </c>
      <c r="G95" s="147">
        <v>4</v>
      </c>
      <c r="H95" s="148" t="s">
        <v>499</v>
      </c>
      <c r="I95" s="13" t="s">
        <v>500</v>
      </c>
      <c r="J95" s="13" t="s">
        <v>254</v>
      </c>
      <c r="K95" s="13">
        <v>4</v>
      </c>
      <c r="L95" s="13" t="s">
        <v>501</v>
      </c>
      <c r="M95" s="13" t="s">
        <v>502</v>
      </c>
      <c r="N95" s="13">
        <v>4</v>
      </c>
      <c r="O95" s="13">
        <v>71</v>
      </c>
    </row>
    <row r="96" spans="1:15">
      <c r="C96" s="145"/>
      <c r="H96" s="146"/>
    </row>
    <row r="97" spans="1:15" s="3" customFormat="1">
      <c r="C97" s="77"/>
      <c r="D97" s="78"/>
      <c r="E97" s="78"/>
      <c r="F97" s="78"/>
      <c r="G97" s="78"/>
      <c r="H97" s="92"/>
      <c r="I97" s="9" t="s">
        <v>300</v>
      </c>
      <c r="J97" s="9" t="s">
        <v>358</v>
      </c>
      <c r="K97" s="9" t="s">
        <v>255</v>
      </c>
      <c r="L97" s="9" t="s">
        <v>342</v>
      </c>
      <c r="M97" s="8" t="s">
        <v>358</v>
      </c>
      <c r="N97" s="9" t="s">
        <v>255</v>
      </c>
      <c r="O97" s="9" t="s">
        <v>256</v>
      </c>
    </row>
    <row r="98" spans="1:15">
      <c r="A98" s="103">
        <v>46012</v>
      </c>
      <c r="B98" s="16" t="s">
        <v>436</v>
      </c>
      <c r="C98" s="149" t="s">
        <v>110</v>
      </c>
      <c r="D98" s="150" t="s">
        <v>111</v>
      </c>
      <c r="E98" s="150" t="s">
        <v>112</v>
      </c>
      <c r="F98" s="150" t="s">
        <v>320</v>
      </c>
      <c r="G98" s="150"/>
      <c r="H98" s="151"/>
      <c r="I98" s="141"/>
      <c r="J98" s="141"/>
      <c r="K98" s="141"/>
      <c r="L98" s="141"/>
      <c r="M98" s="141"/>
      <c r="N98" s="141"/>
      <c r="O98" s="141"/>
    </row>
    <row r="99" spans="1:15">
      <c r="A99" s="103">
        <v>45930</v>
      </c>
      <c r="B99" s="16" t="s">
        <v>436</v>
      </c>
      <c r="C99" s="138" t="s">
        <v>265</v>
      </c>
      <c r="D99" s="139" t="s">
        <v>113</v>
      </c>
      <c r="E99" s="139" t="s">
        <v>112</v>
      </c>
      <c r="F99" s="139" t="s">
        <v>320</v>
      </c>
      <c r="G99" s="139"/>
      <c r="H99" s="140"/>
      <c r="I99" s="141"/>
      <c r="J99" s="141"/>
      <c r="K99" s="141"/>
      <c r="L99" s="141"/>
      <c r="M99" s="141"/>
      <c r="N99" s="141"/>
      <c r="O99" s="141"/>
    </row>
    <row r="100" spans="1:15">
      <c r="B100" s="16"/>
      <c r="C100" s="66" t="s">
        <v>114</v>
      </c>
      <c r="D100" s="67" t="s">
        <v>115</v>
      </c>
      <c r="E100" s="67" t="s">
        <v>112</v>
      </c>
      <c r="F100" s="67" t="s">
        <v>321</v>
      </c>
      <c r="G100" s="67">
        <v>5</v>
      </c>
      <c r="H100" s="89" t="s">
        <v>415</v>
      </c>
      <c r="I100" s="13" t="s">
        <v>343</v>
      </c>
      <c r="J100" s="13" t="s">
        <v>259</v>
      </c>
      <c r="K100" s="13">
        <v>5</v>
      </c>
      <c r="L100" s="13" t="s">
        <v>345</v>
      </c>
      <c r="M100" s="13" t="s">
        <v>259</v>
      </c>
      <c r="N100" s="13">
        <v>5</v>
      </c>
      <c r="O100" s="13">
        <v>76</v>
      </c>
    </row>
    <row r="101" spans="1:15">
      <c r="B101" s="16"/>
      <c r="C101" s="63" t="s">
        <v>116</v>
      </c>
      <c r="D101" s="64" t="s">
        <v>117</v>
      </c>
      <c r="E101" s="64" t="s">
        <v>112</v>
      </c>
      <c r="F101" s="64" t="s">
        <v>321</v>
      </c>
      <c r="G101" s="64">
        <v>5</v>
      </c>
      <c r="H101" s="83" t="s">
        <v>415</v>
      </c>
      <c r="I101" s="13" t="s">
        <v>343</v>
      </c>
      <c r="J101" s="13" t="s">
        <v>259</v>
      </c>
      <c r="K101" s="13">
        <v>5</v>
      </c>
      <c r="L101" s="13" t="s">
        <v>345</v>
      </c>
      <c r="M101" s="13" t="s">
        <v>254</v>
      </c>
      <c r="N101" s="13">
        <v>5</v>
      </c>
      <c r="O101" s="13">
        <v>74</v>
      </c>
    </row>
    <row r="102" spans="1:15">
      <c r="B102" s="16"/>
      <c r="C102" s="66" t="s">
        <v>118</v>
      </c>
      <c r="D102" s="67" t="s">
        <v>119</v>
      </c>
      <c r="E102" s="67" t="s">
        <v>112</v>
      </c>
      <c r="F102" s="67" t="s">
        <v>321</v>
      </c>
      <c r="G102" s="67">
        <v>5</v>
      </c>
      <c r="H102" s="89" t="s">
        <v>415</v>
      </c>
      <c r="I102" s="13" t="s">
        <v>343</v>
      </c>
      <c r="J102" s="13" t="s">
        <v>257</v>
      </c>
      <c r="K102" s="13">
        <v>5</v>
      </c>
      <c r="L102" s="13" t="s">
        <v>345</v>
      </c>
      <c r="M102" s="13" t="s">
        <v>257</v>
      </c>
      <c r="N102" s="13">
        <v>5</v>
      </c>
      <c r="O102" s="13">
        <v>70</v>
      </c>
    </row>
    <row r="103" spans="1:15">
      <c r="A103" s="103"/>
      <c r="B103" s="16"/>
      <c r="C103" s="66" t="s">
        <v>120</v>
      </c>
      <c r="D103" s="67" t="s">
        <v>113</v>
      </c>
      <c r="E103" s="67" t="s">
        <v>112</v>
      </c>
      <c r="F103" s="67" t="s">
        <v>469</v>
      </c>
      <c r="G103" s="67">
        <v>5</v>
      </c>
      <c r="H103" s="89" t="s">
        <v>416</v>
      </c>
      <c r="I103" s="13" t="s">
        <v>344</v>
      </c>
      <c r="J103" s="13" t="s">
        <v>470</v>
      </c>
      <c r="K103" s="13">
        <v>5</v>
      </c>
      <c r="L103" s="2" t="s">
        <v>346</v>
      </c>
      <c r="M103" s="13" t="s">
        <v>470</v>
      </c>
      <c r="N103" s="13">
        <v>5</v>
      </c>
      <c r="O103" s="13">
        <v>74</v>
      </c>
    </row>
    <row r="104" spans="1:15">
      <c r="B104" s="16"/>
      <c r="C104" s="66" t="s">
        <v>121</v>
      </c>
      <c r="D104" s="67" t="s">
        <v>122</v>
      </c>
      <c r="E104" s="67" t="s">
        <v>314</v>
      </c>
      <c r="F104" s="67" t="s">
        <v>309</v>
      </c>
      <c r="G104" s="67">
        <v>4</v>
      </c>
      <c r="H104" s="89" t="s">
        <v>426</v>
      </c>
      <c r="I104" s="13" t="s">
        <v>328</v>
      </c>
      <c r="J104" s="13" t="s">
        <v>259</v>
      </c>
      <c r="K104" s="13">
        <v>4</v>
      </c>
      <c r="L104" s="13" t="s">
        <v>331</v>
      </c>
      <c r="M104" s="13" t="s">
        <v>259</v>
      </c>
      <c r="N104" s="13">
        <v>4</v>
      </c>
      <c r="O104" s="13">
        <v>70</v>
      </c>
    </row>
    <row r="105" spans="1:15">
      <c r="B105" s="16"/>
      <c r="C105" s="63" t="s">
        <v>123</v>
      </c>
      <c r="D105" s="64" t="s">
        <v>124</v>
      </c>
      <c r="E105" s="64" t="s">
        <v>314</v>
      </c>
      <c r="F105" s="64" t="s">
        <v>309</v>
      </c>
      <c r="G105" s="64">
        <v>4</v>
      </c>
      <c r="H105" s="83" t="s">
        <v>426</v>
      </c>
      <c r="I105" s="13" t="s">
        <v>328</v>
      </c>
      <c r="J105" s="13" t="s">
        <v>259</v>
      </c>
      <c r="K105" s="13">
        <v>4</v>
      </c>
      <c r="L105" s="13" t="s">
        <v>331</v>
      </c>
      <c r="M105" s="13" t="s">
        <v>259</v>
      </c>
      <c r="N105" s="13">
        <v>4</v>
      </c>
      <c r="O105" s="13">
        <v>70</v>
      </c>
    </row>
    <row r="106" spans="1:15">
      <c r="B106" s="16"/>
      <c r="C106" s="66" t="s">
        <v>125</v>
      </c>
      <c r="D106" s="67" t="s">
        <v>126</v>
      </c>
      <c r="E106" s="67" t="s">
        <v>314</v>
      </c>
      <c r="F106" s="67" t="s">
        <v>309</v>
      </c>
      <c r="G106" s="67">
        <v>4</v>
      </c>
      <c r="H106" s="89" t="s">
        <v>426</v>
      </c>
      <c r="I106" s="13" t="s">
        <v>328</v>
      </c>
      <c r="J106" s="13" t="s">
        <v>257</v>
      </c>
      <c r="K106" s="13">
        <v>4</v>
      </c>
      <c r="L106" s="13" t="s">
        <v>331</v>
      </c>
      <c r="M106" s="13" t="s">
        <v>257</v>
      </c>
      <c r="N106" s="13">
        <v>4</v>
      </c>
      <c r="O106" s="13">
        <v>69</v>
      </c>
    </row>
    <row r="107" spans="1:15">
      <c r="C107" s="63"/>
      <c r="D107" s="74"/>
      <c r="E107" s="74"/>
      <c r="F107" s="74"/>
      <c r="G107" s="74"/>
      <c r="H107" s="90"/>
    </row>
    <row r="108" spans="1:15">
      <c r="C108" s="75"/>
      <c r="D108" s="76"/>
      <c r="E108" s="76"/>
      <c r="F108" s="76"/>
      <c r="G108" s="76"/>
      <c r="H108" s="91"/>
    </row>
    <row r="109" spans="1:15" s="3" customFormat="1">
      <c r="C109" s="77"/>
      <c r="D109" s="78"/>
      <c r="E109" s="78"/>
      <c r="F109" s="64" t="s">
        <v>315</v>
      </c>
      <c r="G109" s="79"/>
      <c r="H109" s="92"/>
      <c r="I109" s="9" t="s">
        <v>300</v>
      </c>
      <c r="J109" s="9" t="s">
        <v>358</v>
      </c>
      <c r="K109" s="9" t="s">
        <v>255</v>
      </c>
      <c r="L109" s="9" t="s">
        <v>342</v>
      </c>
      <c r="M109" s="9" t="s">
        <v>358</v>
      </c>
      <c r="N109" s="9" t="s">
        <v>255</v>
      </c>
      <c r="O109" s="9" t="s">
        <v>256</v>
      </c>
    </row>
    <row r="110" spans="1:15">
      <c r="B110" s="16"/>
      <c r="C110" s="66" t="s">
        <v>127</v>
      </c>
      <c r="D110" s="67" t="s">
        <v>128</v>
      </c>
      <c r="E110" s="67" t="s">
        <v>129</v>
      </c>
      <c r="F110" s="67" t="s">
        <v>315</v>
      </c>
      <c r="G110" s="67">
        <v>5</v>
      </c>
      <c r="H110" s="89" t="s">
        <v>413</v>
      </c>
      <c r="I110" s="13" t="s">
        <v>347</v>
      </c>
      <c r="J110" s="13" t="s">
        <v>254</v>
      </c>
      <c r="K110" s="13">
        <v>5</v>
      </c>
      <c r="L110" s="13" t="s">
        <v>345</v>
      </c>
      <c r="M110" s="13" t="s">
        <v>254</v>
      </c>
      <c r="N110" s="13">
        <v>5</v>
      </c>
      <c r="O110" s="13">
        <v>70</v>
      </c>
    </row>
    <row r="111" spans="1:15">
      <c r="B111" s="16"/>
      <c r="C111" s="63" t="s">
        <v>130</v>
      </c>
      <c r="D111" s="64" t="s">
        <v>131</v>
      </c>
      <c r="E111" s="64" t="s">
        <v>129</v>
      </c>
      <c r="F111" s="64" t="s">
        <v>315</v>
      </c>
      <c r="G111" s="64">
        <v>5</v>
      </c>
      <c r="H111" s="83" t="s">
        <v>413</v>
      </c>
      <c r="I111" s="13" t="s">
        <v>347</v>
      </c>
      <c r="J111" s="13" t="s">
        <v>257</v>
      </c>
      <c r="K111" s="13">
        <v>5</v>
      </c>
      <c r="L111" s="13" t="s">
        <v>345</v>
      </c>
      <c r="M111" s="13" t="s">
        <v>257</v>
      </c>
      <c r="N111" s="13">
        <v>5</v>
      </c>
      <c r="O111" s="13">
        <v>62</v>
      </c>
    </row>
    <row r="112" spans="1:15">
      <c r="B112" s="16"/>
      <c r="C112" s="66" t="s">
        <v>132</v>
      </c>
      <c r="D112" s="67" t="s">
        <v>133</v>
      </c>
      <c r="E112" s="67" t="s">
        <v>129</v>
      </c>
      <c r="F112" s="67" t="s">
        <v>315</v>
      </c>
      <c r="G112" s="67">
        <v>5</v>
      </c>
      <c r="H112" s="89" t="s">
        <v>413</v>
      </c>
      <c r="I112" s="13" t="s">
        <v>347</v>
      </c>
      <c r="J112" s="13" t="s">
        <v>261</v>
      </c>
      <c r="K112" s="13">
        <v>5</v>
      </c>
      <c r="L112" s="13" t="s">
        <v>345</v>
      </c>
      <c r="M112" s="13" t="s">
        <v>253</v>
      </c>
      <c r="N112" s="13">
        <v>5</v>
      </c>
      <c r="O112" s="13">
        <v>76</v>
      </c>
    </row>
    <row r="113" spans="1:24">
      <c r="B113" s="16"/>
      <c r="C113" s="63" t="s">
        <v>134</v>
      </c>
      <c r="D113" s="64" t="s">
        <v>135</v>
      </c>
      <c r="E113" s="64" t="s">
        <v>129</v>
      </c>
      <c r="F113" s="64" t="s">
        <v>315</v>
      </c>
      <c r="G113" s="64">
        <v>5</v>
      </c>
      <c r="H113" s="83" t="s">
        <v>413</v>
      </c>
      <c r="I113" s="13" t="s">
        <v>347</v>
      </c>
      <c r="J113" s="13" t="s">
        <v>261</v>
      </c>
      <c r="K113" s="13">
        <v>5</v>
      </c>
      <c r="L113" s="13" t="s">
        <v>345</v>
      </c>
      <c r="M113" s="13" t="s">
        <v>262</v>
      </c>
      <c r="N113" s="13">
        <v>5</v>
      </c>
      <c r="O113" s="13">
        <v>67</v>
      </c>
    </row>
    <row r="114" spans="1:24">
      <c r="B114" s="16"/>
      <c r="C114" s="66" t="s">
        <v>136</v>
      </c>
      <c r="D114" s="67" t="s">
        <v>137</v>
      </c>
      <c r="E114" s="67" t="s">
        <v>129</v>
      </c>
      <c r="F114" s="67" t="s">
        <v>315</v>
      </c>
      <c r="G114" s="67">
        <v>5</v>
      </c>
      <c r="H114" s="89" t="s">
        <v>413</v>
      </c>
      <c r="I114" s="13" t="s">
        <v>347</v>
      </c>
      <c r="J114" s="13" t="s">
        <v>259</v>
      </c>
      <c r="K114" s="13">
        <v>5</v>
      </c>
      <c r="L114" s="13" t="s">
        <v>345</v>
      </c>
      <c r="M114" s="13" t="s">
        <v>259</v>
      </c>
      <c r="N114" s="13">
        <v>5</v>
      </c>
      <c r="O114" s="13">
        <v>67</v>
      </c>
    </row>
    <row r="115" spans="1:24">
      <c r="B115" s="16"/>
      <c r="C115" s="63" t="s">
        <v>138</v>
      </c>
      <c r="D115" s="64" t="s">
        <v>139</v>
      </c>
      <c r="E115" s="64" t="s">
        <v>129</v>
      </c>
      <c r="F115" s="64" t="s">
        <v>315</v>
      </c>
      <c r="G115" s="64">
        <v>4</v>
      </c>
      <c r="H115" s="83" t="s">
        <v>414</v>
      </c>
      <c r="I115" s="13" t="s">
        <v>347</v>
      </c>
      <c r="J115" s="13" t="s">
        <v>259</v>
      </c>
      <c r="K115" s="13">
        <v>4</v>
      </c>
      <c r="L115" s="13" t="s">
        <v>345</v>
      </c>
      <c r="M115" s="13" t="s">
        <v>257</v>
      </c>
      <c r="N115" s="13">
        <v>4</v>
      </c>
      <c r="O115" s="13">
        <v>70</v>
      </c>
    </row>
    <row r="116" spans="1:24">
      <c r="B116" s="16"/>
      <c r="C116" s="66" t="s">
        <v>140</v>
      </c>
      <c r="D116" s="67" t="s">
        <v>141</v>
      </c>
      <c r="E116" s="67" t="s">
        <v>129</v>
      </c>
      <c r="F116" s="67" t="s">
        <v>315</v>
      </c>
      <c r="G116" s="67">
        <v>5</v>
      </c>
      <c r="H116" s="89" t="s">
        <v>413</v>
      </c>
      <c r="I116" s="13" t="s">
        <v>347</v>
      </c>
      <c r="J116" s="13" t="s">
        <v>253</v>
      </c>
      <c r="K116" s="13">
        <v>5</v>
      </c>
      <c r="L116" s="13" t="s">
        <v>345</v>
      </c>
      <c r="M116" s="13" t="s">
        <v>253</v>
      </c>
      <c r="N116" s="13">
        <v>5</v>
      </c>
      <c r="O116" s="13">
        <v>68</v>
      </c>
    </row>
    <row r="117" spans="1:24">
      <c r="B117" s="16"/>
      <c r="C117" s="63" t="s">
        <v>142</v>
      </c>
      <c r="D117" s="64" t="s">
        <v>143</v>
      </c>
      <c r="E117" s="64" t="s">
        <v>129</v>
      </c>
      <c r="F117" s="64" t="s">
        <v>315</v>
      </c>
      <c r="G117" s="64">
        <v>5</v>
      </c>
      <c r="H117" s="83" t="s">
        <v>413</v>
      </c>
      <c r="I117" s="13" t="s">
        <v>347</v>
      </c>
      <c r="J117" s="13" t="s">
        <v>253</v>
      </c>
      <c r="K117" s="13">
        <v>5</v>
      </c>
      <c r="L117" s="13" t="s">
        <v>345</v>
      </c>
      <c r="M117" s="13" t="s">
        <v>253</v>
      </c>
      <c r="N117" s="13">
        <v>5</v>
      </c>
      <c r="O117" s="13">
        <v>70</v>
      </c>
    </row>
    <row r="118" spans="1:24">
      <c r="B118" s="16"/>
      <c r="C118" s="66" t="s">
        <v>144</v>
      </c>
      <c r="D118" s="67" t="s">
        <v>145</v>
      </c>
      <c r="E118" s="67" t="s">
        <v>129</v>
      </c>
      <c r="F118" s="67" t="s">
        <v>315</v>
      </c>
      <c r="G118" s="67">
        <v>4</v>
      </c>
      <c r="H118" s="89" t="s">
        <v>414</v>
      </c>
      <c r="I118" s="13" t="s">
        <v>347</v>
      </c>
      <c r="J118" s="13" t="s">
        <v>259</v>
      </c>
      <c r="K118" s="13">
        <v>4</v>
      </c>
      <c r="L118" s="13" t="s">
        <v>345</v>
      </c>
      <c r="M118" s="13" t="s">
        <v>259</v>
      </c>
      <c r="N118" s="13">
        <v>4</v>
      </c>
      <c r="O118" s="13">
        <v>75</v>
      </c>
    </row>
    <row r="119" spans="1:24">
      <c r="C119" s="63"/>
      <c r="D119" s="74"/>
      <c r="E119" s="74"/>
      <c r="F119" s="74"/>
      <c r="G119" s="74"/>
      <c r="H119" s="90"/>
    </row>
    <row r="120" spans="1:24">
      <c r="C120" s="75"/>
      <c r="D120" s="76"/>
      <c r="E120" s="76"/>
      <c r="F120" s="76"/>
      <c r="G120" s="76"/>
      <c r="H120" s="91"/>
      <c r="I120" s="1"/>
      <c r="J120" s="1"/>
      <c r="K120" s="1"/>
      <c r="L120" s="1"/>
      <c r="M120" s="1"/>
      <c r="N120" s="1"/>
      <c r="O120" s="1"/>
      <c r="Q120" s="1"/>
    </row>
    <row r="121" spans="1:24" s="3" customFormat="1">
      <c r="C121" s="77"/>
      <c r="D121" s="78"/>
      <c r="E121" s="78"/>
      <c r="F121" s="78"/>
      <c r="G121" s="78"/>
      <c r="H121" s="92"/>
      <c r="I121" s="9" t="s">
        <v>361</v>
      </c>
      <c r="J121" s="9" t="s">
        <v>358</v>
      </c>
      <c r="K121" s="9" t="s">
        <v>255</v>
      </c>
      <c r="L121" s="9" t="s">
        <v>300</v>
      </c>
      <c r="M121" s="9" t="s">
        <v>358</v>
      </c>
      <c r="N121" s="9" t="s">
        <v>255</v>
      </c>
      <c r="O121" s="9" t="s">
        <v>342</v>
      </c>
      <c r="P121" s="9" t="s">
        <v>255</v>
      </c>
      <c r="Q121" s="9" t="s">
        <v>255</v>
      </c>
      <c r="R121" s="9" t="s">
        <v>256</v>
      </c>
    </row>
    <row r="122" spans="1:24">
      <c r="B122" s="16"/>
      <c r="C122" s="66" t="s">
        <v>146</v>
      </c>
      <c r="D122" s="67" t="s">
        <v>147</v>
      </c>
      <c r="E122" s="67" t="s">
        <v>148</v>
      </c>
      <c r="F122" s="67" t="s">
        <v>322</v>
      </c>
      <c r="G122" s="67">
        <v>3</v>
      </c>
      <c r="H122" s="89" t="s">
        <v>406</v>
      </c>
      <c r="I122" s="13" t="s">
        <v>351</v>
      </c>
      <c r="J122" s="13" t="s">
        <v>259</v>
      </c>
      <c r="K122" s="13">
        <v>3</v>
      </c>
      <c r="L122" s="13" t="s">
        <v>352</v>
      </c>
      <c r="M122" s="13" t="s">
        <v>257</v>
      </c>
      <c r="N122" s="13">
        <v>3</v>
      </c>
      <c r="O122" s="9" t="s">
        <v>252</v>
      </c>
      <c r="P122" s="13" t="s">
        <v>257</v>
      </c>
      <c r="Q122" s="13">
        <v>3</v>
      </c>
      <c r="R122" s="13">
        <v>69</v>
      </c>
    </row>
    <row r="123" spans="1:24">
      <c r="A123" s="103">
        <v>45838</v>
      </c>
      <c r="B123" s="16" t="s">
        <v>448</v>
      </c>
      <c r="C123" s="114" t="s">
        <v>149</v>
      </c>
      <c r="D123" s="115" t="s">
        <v>150</v>
      </c>
      <c r="E123" s="115" t="s">
        <v>148</v>
      </c>
      <c r="F123" s="115" t="s">
        <v>323</v>
      </c>
      <c r="G123" s="115"/>
      <c r="H123" s="116"/>
      <c r="I123" s="112"/>
      <c r="J123" s="112"/>
      <c r="K123" s="112"/>
      <c r="L123" s="112"/>
      <c r="M123" s="117"/>
      <c r="N123" s="117"/>
      <c r="O123" s="117"/>
      <c r="P123" s="112"/>
      <c r="Q123" s="112"/>
      <c r="R123" s="117"/>
    </row>
    <row r="124" spans="1:24">
      <c r="C124" s="66"/>
      <c r="D124" s="84"/>
      <c r="E124" s="84"/>
      <c r="F124" s="84"/>
      <c r="G124" s="84"/>
      <c r="H124" s="93"/>
    </row>
    <row r="125" spans="1:24">
      <c r="C125" s="57"/>
      <c r="D125" s="58"/>
      <c r="E125" s="58"/>
      <c r="F125" s="58"/>
      <c r="G125" s="58"/>
      <c r="H125" s="94"/>
      <c r="K125" s="1"/>
      <c r="L125" s="1"/>
      <c r="M125" s="1"/>
      <c r="N125" s="1"/>
      <c r="O125" s="1"/>
      <c r="R125" s="1"/>
      <c r="W125" s="4" t="s">
        <v>266</v>
      </c>
      <c r="X125" s="4" t="s">
        <v>293</v>
      </c>
    </row>
    <row r="126" spans="1:24" s="3" customFormat="1">
      <c r="C126" s="60"/>
      <c r="D126" s="61"/>
      <c r="E126" s="61"/>
      <c r="F126" s="67" t="s">
        <v>393</v>
      </c>
      <c r="G126" s="95"/>
      <c r="H126" s="96"/>
      <c r="I126" s="9" t="s">
        <v>364</v>
      </c>
      <c r="J126" s="9" t="s">
        <v>358</v>
      </c>
      <c r="K126" s="9" t="s">
        <v>255</v>
      </c>
      <c r="L126" s="9" t="s">
        <v>300</v>
      </c>
      <c r="M126" s="9" t="s">
        <v>358</v>
      </c>
      <c r="N126" s="9" t="s">
        <v>255</v>
      </c>
      <c r="O126" s="9" t="s">
        <v>342</v>
      </c>
      <c r="P126" s="9" t="s">
        <v>358</v>
      </c>
      <c r="Q126" s="9" t="s">
        <v>255</v>
      </c>
      <c r="R126" s="9" t="s">
        <v>256</v>
      </c>
      <c r="S126" s="9" t="s">
        <v>342</v>
      </c>
      <c r="T126" s="9" t="s">
        <v>358</v>
      </c>
      <c r="U126" s="9" t="s">
        <v>255</v>
      </c>
      <c r="V126" s="9" t="s">
        <v>256</v>
      </c>
      <c r="W126" s="9" t="s">
        <v>267</v>
      </c>
      <c r="X126" s="9" t="s">
        <v>255</v>
      </c>
    </row>
    <row r="127" spans="1:24">
      <c r="B127" s="16"/>
      <c r="C127" s="63" t="s">
        <v>151</v>
      </c>
      <c r="D127" s="64" t="s">
        <v>152</v>
      </c>
      <c r="E127" s="64" t="s">
        <v>247</v>
      </c>
      <c r="F127" s="64" t="s">
        <v>393</v>
      </c>
      <c r="G127" s="64">
        <v>4</v>
      </c>
      <c r="H127" s="83" t="s">
        <v>402</v>
      </c>
      <c r="I127" s="13" t="s">
        <v>348</v>
      </c>
      <c r="J127" s="13" t="s">
        <v>257</v>
      </c>
      <c r="K127" s="13">
        <v>4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 t="s">
        <v>268</v>
      </c>
      <c r="X127" s="14">
        <v>1</v>
      </c>
    </row>
    <row r="128" spans="1:24">
      <c r="B128" s="16"/>
      <c r="C128" s="66" t="s">
        <v>153</v>
      </c>
      <c r="D128" s="67" t="s">
        <v>154</v>
      </c>
      <c r="E128" s="67" t="s">
        <v>247</v>
      </c>
      <c r="F128" s="67" t="s">
        <v>393</v>
      </c>
      <c r="G128" s="67">
        <v>4</v>
      </c>
      <c r="H128" s="89" t="s">
        <v>402</v>
      </c>
      <c r="I128" s="13" t="s">
        <v>348</v>
      </c>
      <c r="J128" s="13" t="s">
        <v>259</v>
      </c>
      <c r="K128" s="13">
        <v>4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 t="s">
        <v>268</v>
      </c>
      <c r="X128" s="14">
        <v>1</v>
      </c>
    </row>
    <row r="129" spans="1:26">
      <c r="B129" s="16"/>
      <c r="C129" s="63" t="s">
        <v>155</v>
      </c>
      <c r="D129" s="64" t="s">
        <v>156</v>
      </c>
      <c r="E129" s="64" t="s">
        <v>247</v>
      </c>
      <c r="F129" s="64" t="s">
        <v>393</v>
      </c>
      <c r="G129" s="64">
        <v>4</v>
      </c>
      <c r="H129" s="83" t="s">
        <v>402</v>
      </c>
      <c r="I129" s="13" t="s">
        <v>348</v>
      </c>
      <c r="J129" s="13" t="s">
        <v>254</v>
      </c>
      <c r="K129" s="13">
        <v>4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 t="s">
        <v>268</v>
      </c>
      <c r="X129" s="14">
        <v>1</v>
      </c>
    </row>
    <row r="130" spans="1:26">
      <c r="B130" s="16"/>
      <c r="C130" s="66" t="s">
        <v>157</v>
      </c>
      <c r="D130" s="67" t="s">
        <v>158</v>
      </c>
      <c r="E130" s="67" t="s">
        <v>247</v>
      </c>
      <c r="F130" s="67" t="s">
        <v>393</v>
      </c>
      <c r="G130" s="67">
        <v>4</v>
      </c>
      <c r="H130" s="89" t="s">
        <v>402</v>
      </c>
      <c r="I130" s="13" t="s">
        <v>348</v>
      </c>
      <c r="J130" s="13" t="s">
        <v>254</v>
      </c>
      <c r="K130" s="13">
        <v>4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 t="s">
        <v>268</v>
      </c>
      <c r="X130" s="14">
        <v>1</v>
      </c>
    </row>
    <row r="131" spans="1:26">
      <c r="B131" s="16"/>
      <c r="C131" s="63" t="s">
        <v>159</v>
      </c>
      <c r="D131" s="64" t="s">
        <v>160</v>
      </c>
      <c r="E131" s="64" t="s">
        <v>161</v>
      </c>
      <c r="F131" s="64" t="s">
        <v>309</v>
      </c>
      <c r="G131" s="64">
        <v>5</v>
      </c>
      <c r="H131" s="83" t="s">
        <v>425</v>
      </c>
      <c r="I131" s="13" t="s">
        <v>328</v>
      </c>
      <c r="J131" s="13" t="s">
        <v>259</v>
      </c>
      <c r="K131" s="13">
        <v>5</v>
      </c>
      <c r="L131" s="12"/>
      <c r="M131" s="12"/>
      <c r="N131" s="12"/>
      <c r="O131" s="13" t="s">
        <v>331</v>
      </c>
      <c r="P131" s="13" t="s">
        <v>257</v>
      </c>
      <c r="Q131" s="13">
        <v>5</v>
      </c>
      <c r="R131" s="13">
        <v>70</v>
      </c>
      <c r="S131" s="13"/>
      <c r="T131" s="13"/>
      <c r="U131" s="13"/>
      <c r="V131" s="13"/>
      <c r="W131" s="13"/>
      <c r="X131" s="14"/>
    </row>
    <row r="132" spans="1:26">
      <c r="B132" s="16"/>
      <c r="C132" s="66" t="s">
        <v>162</v>
      </c>
      <c r="D132" s="67" t="s">
        <v>163</v>
      </c>
      <c r="E132" s="67" t="s">
        <v>247</v>
      </c>
      <c r="F132" s="67" t="s">
        <v>393</v>
      </c>
      <c r="G132" s="67">
        <v>4</v>
      </c>
      <c r="H132" s="89" t="s">
        <v>402</v>
      </c>
      <c r="I132" s="13" t="s">
        <v>348</v>
      </c>
      <c r="J132" s="13" t="s">
        <v>257</v>
      </c>
      <c r="K132" s="13">
        <v>4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 t="s">
        <v>270</v>
      </c>
      <c r="X132" s="14">
        <v>1</v>
      </c>
      <c r="Y132" t="s">
        <v>389</v>
      </c>
    </row>
    <row r="133" spans="1:26">
      <c r="B133" s="16"/>
      <c r="C133" s="63" t="s">
        <v>164</v>
      </c>
      <c r="D133" s="64" t="s">
        <v>165</v>
      </c>
      <c r="E133" s="64" t="s">
        <v>166</v>
      </c>
      <c r="F133" s="64" t="s">
        <v>308</v>
      </c>
      <c r="G133" s="97">
        <v>3</v>
      </c>
      <c r="H133" s="82" t="s">
        <v>411</v>
      </c>
      <c r="I133" s="18" t="s">
        <v>324</v>
      </c>
      <c r="J133" s="13" t="s">
        <v>254</v>
      </c>
      <c r="K133" s="13">
        <v>1</v>
      </c>
      <c r="L133" s="13" t="s">
        <v>325</v>
      </c>
      <c r="M133" s="13" t="s">
        <v>254</v>
      </c>
      <c r="N133" s="13">
        <v>2</v>
      </c>
      <c r="O133" s="13" t="s">
        <v>326</v>
      </c>
      <c r="P133" s="13" t="s">
        <v>259</v>
      </c>
      <c r="Q133" s="13">
        <v>1</v>
      </c>
      <c r="R133" s="13">
        <v>70</v>
      </c>
      <c r="S133" s="13" t="s">
        <v>327</v>
      </c>
      <c r="T133" s="13" t="s">
        <v>259</v>
      </c>
      <c r="U133" s="13">
        <v>2</v>
      </c>
      <c r="V133" s="13">
        <v>70</v>
      </c>
      <c r="W133" s="13"/>
      <c r="X133" s="14"/>
    </row>
    <row r="134" spans="1:26">
      <c r="B134" s="16"/>
      <c r="C134" s="66" t="s">
        <v>167</v>
      </c>
      <c r="D134" s="67" t="s">
        <v>168</v>
      </c>
      <c r="E134" s="67" t="s">
        <v>161</v>
      </c>
      <c r="F134" s="67" t="s">
        <v>309</v>
      </c>
      <c r="G134" s="67">
        <v>4</v>
      </c>
      <c r="H134" s="89" t="s">
        <v>426</v>
      </c>
      <c r="I134" s="13" t="s">
        <v>328</v>
      </c>
      <c r="J134" s="15" t="s">
        <v>253</v>
      </c>
      <c r="K134" s="13">
        <v>4</v>
      </c>
      <c r="L134" s="12"/>
      <c r="M134" s="12"/>
      <c r="N134" s="12"/>
      <c r="O134" s="13" t="s">
        <v>331</v>
      </c>
      <c r="P134" s="13" t="s">
        <v>254</v>
      </c>
      <c r="Q134" s="13">
        <v>4</v>
      </c>
      <c r="R134" s="13">
        <v>70</v>
      </c>
      <c r="S134" s="13"/>
      <c r="T134" s="13"/>
      <c r="U134" s="13"/>
      <c r="V134" s="13"/>
      <c r="W134" s="13"/>
      <c r="X134" s="14"/>
      <c r="Y134" s="6" t="s">
        <v>278</v>
      </c>
      <c r="Z134" s="7"/>
    </row>
    <row r="135" spans="1:26">
      <c r="B135" s="16"/>
      <c r="C135" s="63" t="s">
        <v>169</v>
      </c>
      <c r="D135" s="64" t="s">
        <v>170</v>
      </c>
      <c r="E135" s="64" t="s">
        <v>247</v>
      </c>
      <c r="F135" s="64" t="s">
        <v>393</v>
      </c>
      <c r="G135" s="64">
        <v>3</v>
      </c>
      <c r="H135" s="83" t="s">
        <v>403</v>
      </c>
      <c r="I135" s="13" t="s">
        <v>348</v>
      </c>
      <c r="J135" s="13" t="s">
        <v>257</v>
      </c>
      <c r="K135" s="13">
        <v>3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 t="s">
        <v>270</v>
      </c>
      <c r="X135" s="14">
        <v>1</v>
      </c>
    </row>
    <row r="136" spans="1:26">
      <c r="B136" s="16"/>
      <c r="C136" s="66" t="s">
        <v>171</v>
      </c>
      <c r="D136" s="67" t="s">
        <v>172</v>
      </c>
      <c r="E136" s="67" t="s">
        <v>247</v>
      </c>
      <c r="F136" s="67" t="s">
        <v>393</v>
      </c>
      <c r="G136" s="67">
        <v>3</v>
      </c>
      <c r="H136" s="89" t="s">
        <v>403</v>
      </c>
      <c r="I136" s="13" t="s">
        <v>348</v>
      </c>
      <c r="J136" s="13" t="s">
        <v>259</v>
      </c>
      <c r="K136" s="13">
        <v>3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 t="s">
        <v>268</v>
      </c>
      <c r="X136" s="14">
        <v>1</v>
      </c>
    </row>
    <row r="137" spans="1:26">
      <c r="B137" s="16"/>
      <c r="C137" s="63" t="s">
        <v>173</v>
      </c>
      <c r="D137" s="64" t="s">
        <v>174</v>
      </c>
      <c r="E137" s="64" t="s">
        <v>247</v>
      </c>
      <c r="F137" s="64" t="s">
        <v>393</v>
      </c>
      <c r="G137" s="64">
        <v>3</v>
      </c>
      <c r="H137" s="83" t="s">
        <v>403</v>
      </c>
      <c r="I137" s="13" t="s">
        <v>348</v>
      </c>
      <c r="J137" s="13" t="s">
        <v>259</v>
      </c>
      <c r="K137" s="13">
        <v>3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 t="s">
        <v>270</v>
      </c>
      <c r="X137" s="14">
        <v>1</v>
      </c>
    </row>
    <row r="138" spans="1:26">
      <c r="A138" s="103">
        <v>45838</v>
      </c>
      <c r="B138" s="16" t="s">
        <v>436</v>
      </c>
      <c r="C138" s="109" t="s">
        <v>175</v>
      </c>
      <c r="D138" s="110" t="s">
        <v>176</v>
      </c>
      <c r="E138" s="110" t="s">
        <v>247</v>
      </c>
      <c r="F138" s="110" t="s">
        <v>393</v>
      </c>
      <c r="G138" s="110"/>
      <c r="H138" s="111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 t="s">
        <v>270</v>
      </c>
      <c r="X138" s="113">
        <v>1</v>
      </c>
    </row>
    <row r="139" spans="1:26">
      <c r="A139" s="103">
        <v>45777</v>
      </c>
      <c r="B139" s="16" t="s">
        <v>436</v>
      </c>
      <c r="C139" s="63" t="s">
        <v>177</v>
      </c>
      <c r="D139" s="64" t="s">
        <v>178</v>
      </c>
      <c r="E139" s="64" t="s">
        <v>166</v>
      </c>
      <c r="F139" s="64" t="s">
        <v>308</v>
      </c>
      <c r="G139" s="64">
        <v>4</v>
      </c>
      <c r="H139" s="82"/>
      <c r="I139" s="18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1:26">
      <c r="B140" s="16"/>
      <c r="C140" s="66" t="s">
        <v>179</v>
      </c>
      <c r="D140" s="67" t="s">
        <v>180</v>
      </c>
      <c r="E140" s="67" t="s">
        <v>166</v>
      </c>
      <c r="F140" s="67" t="s">
        <v>308</v>
      </c>
      <c r="G140" s="67">
        <v>5</v>
      </c>
      <c r="H140" s="81" t="s">
        <v>398</v>
      </c>
      <c r="I140" s="18" t="s">
        <v>324</v>
      </c>
      <c r="J140" s="13" t="s">
        <v>259</v>
      </c>
      <c r="K140" s="13">
        <v>2</v>
      </c>
      <c r="L140" s="13" t="s">
        <v>325</v>
      </c>
      <c r="M140" s="13" t="s">
        <v>259</v>
      </c>
      <c r="N140" s="13">
        <v>3</v>
      </c>
      <c r="O140" s="13" t="s">
        <v>326</v>
      </c>
      <c r="P140" s="13" t="s">
        <v>257</v>
      </c>
      <c r="Q140" s="13">
        <v>2</v>
      </c>
      <c r="R140" s="13">
        <v>70</v>
      </c>
      <c r="S140" s="13" t="s">
        <v>327</v>
      </c>
      <c r="T140" s="13" t="s">
        <v>257</v>
      </c>
      <c r="U140" s="13">
        <v>3</v>
      </c>
      <c r="V140" s="13">
        <v>70</v>
      </c>
      <c r="W140" s="13"/>
      <c r="X140" s="13"/>
    </row>
    <row r="141" spans="1:26">
      <c r="A141" s="103">
        <v>46035</v>
      </c>
      <c r="B141" s="16" t="s">
        <v>436</v>
      </c>
      <c r="C141" s="138" t="s">
        <v>181</v>
      </c>
      <c r="D141" s="139" t="s">
        <v>182</v>
      </c>
      <c r="E141" s="139" t="s">
        <v>161</v>
      </c>
      <c r="F141" s="139" t="s">
        <v>309</v>
      </c>
      <c r="G141" s="139"/>
      <c r="H141" s="140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</row>
    <row r="142" spans="1:26">
      <c r="B142" s="16"/>
      <c r="C142" s="66" t="s">
        <v>183</v>
      </c>
      <c r="D142" s="67" t="s">
        <v>184</v>
      </c>
      <c r="E142" s="67" t="s">
        <v>161</v>
      </c>
      <c r="F142" s="67" t="s">
        <v>309</v>
      </c>
      <c r="G142" s="67">
        <v>4</v>
      </c>
      <c r="H142" s="89" t="s">
        <v>426</v>
      </c>
      <c r="I142" s="13" t="s">
        <v>328</v>
      </c>
      <c r="J142" s="15" t="s">
        <v>259</v>
      </c>
      <c r="K142" s="13">
        <v>4</v>
      </c>
      <c r="L142" s="13"/>
      <c r="M142" s="13"/>
      <c r="N142" s="13"/>
      <c r="O142" s="13" t="s">
        <v>331</v>
      </c>
      <c r="P142" s="13" t="s">
        <v>257</v>
      </c>
      <c r="Q142" s="13">
        <v>4</v>
      </c>
      <c r="R142" s="13">
        <v>70</v>
      </c>
      <c r="S142" s="13"/>
      <c r="T142" s="13"/>
      <c r="U142" s="6" t="s">
        <v>277</v>
      </c>
      <c r="X142" s="5"/>
    </row>
    <row r="143" spans="1:26">
      <c r="C143" s="63"/>
      <c r="D143" s="74"/>
      <c r="E143" s="74"/>
      <c r="F143" s="74"/>
      <c r="G143" s="74"/>
      <c r="H143" s="90"/>
    </row>
    <row r="144" spans="1:26">
      <c r="C144" s="75"/>
      <c r="D144" s="76"/>
      <c r="E144" s="76"/>
      <c r="F144" s="76"/>
      <c r="G144" s="76"/>
      <c r="H144" s="91"/>
      <c r="N144" s="162" t="s">
        <v>294</v>
      </c>
      <c r="O144" s="162"/>
    </row>
    <row r="145" spans="1:15" s="3" customFormat="1">
      <c r="C145" s="77"/>
      <c r="D145" s="78"/>
      <c r="E145" s="78"/>
      <c r="F145" s="64" t="s">
        <v>316</v>
      </c>
      <c r="G145" s="79"/>
      <c r="H145" s="92"/>
      <c r="I145" s="9" t="s">
        <v>251</v>
      </c>
      <c r="J145" s="9" t="s">
        <v>358</v>
      </c>
      <c r="K145" s="9" t="s">
        <v>255</v>
      </c>
      <c r="N145" s="4" t="s">
        <v>295</v>
      </c>
      <c r="O145" s="4" t="s">
        <v>296</v>
      </c>
    </row>
    <row r="146" spans="1:15">
      <c r="B146" s="16"/>
      <c r="C146" s="66" t="s">
        <v>185</v>
      </c>
      <c r="D146" s="67" t="s">
        <v>186</v>
      </c>
      <c r="E146" s="67" t="s">
        <v>187</v>
      </c>
      <c r="F146" s="67" t="s">
        <v>316</v>
      </c>
      <c r="G146" s="67">
        <v>4</v>
      </c>
      <c r="H146" s="89" t="s">
        <v>400</v>
      </c>
      <c r="I146" s="13" t="s">
        <v>349</v>
      </c>
      <c r="J146" s="13" t="s">
        <v>257</v>
      </c>
      <c r="K146" s="13">
        <v>4</v>
      </c>
    </row>
    <row r="147" spans="1:15">
      <c r="B147" s="16"/>
      <c r="C147" s="63" t="s">
        <v>188</v>
      </c>
      <c r="D147" s="64" t="s">
        <v>189</v>
      </c>
      <c r="E147" s="64" t="s">
        <v>187</v>
      </c>
      <c r="F147" s="64" t="s">
        <v>316</v>
      </c>
      <c r="G147" s="64">
        <v>4</v>
      </c>
      <c r="H147" s="83" t="s">
        <v>400</v>
      </c>
      <c r="I147" s="13" t="s">
        <v>349</v>
      </c>
      <c r="J147" s="13" t="s">
        <v>254</v>
      </c>
      <c r="K147" s="13">
        <v>4</v>
      </c>
    </row>
    <row r="148" spans="1:15">
      <c r="B148" s="16"/>
      <c r="C148" s="66" t="s">
        <v>190</v>
      </c>
      <c r="D148" s="67" t="s">
        <v>191</v>
      </c>
      <c r="E148" s="67" t="s">
        <v>187</v>
      </c>
      <c r="F148" s="67" t="s">
        <v>316</v>
      </c>
      <c r="G148" s="67">
        <v>4</v>
      </c>
      <c r="H148" s="89" t="s">
        <v>400</v>
      </c>
      <c r="I148" s="13" t="s">
        <v>349</v>
      </c>
      <c r="J148" s="13" t="s">
        <v>257</v>
      </c>
      <c r="K148" s="13">
        <v>4</v>
      </c>
    </row>
    <row r="149" spans="1:15">
      <c r="B149" s="16"/>
      <c r="C149" s="63" t="s">
        <v>192</v>
      </c>
      <c r="D149" s="64" t="s">
        <v>193</v>
      </c>
      <c r="E149" s="64" t="s">
        <v>187</v>
      </c>
      <c r="F149" s="64" t="s">
        <v>316</v>
      </c>
      <c r="G149" s="64">
        <v>4</v>
      </c>
      <c r="H149" s="83" t="s">
        <v>400</v>
      </c>
      <c r="I149" s="13" t="s">
        <v>349</v>
      </c>
      <c r="J149" s="13" t="s">
        <v>253</v>
      </c>
      <c r="K149" s="13">
        <v>4</v>
      </c>
    </row>
    <row r="150" spans="1:15">
      <c r="A150" s="103">
        <v>45915</v>
      </c>
      <c r="B150" s="16" t="s">
        <v>436</v>
      </c>
      <c r="C150" s="129" t="s">
        <v>194</v>
      </c>
      <c r="D150" s="130" t="s">
        <v>195</v>
      </c>
      <c r="E150" s="130" t="s">
        <v>187</v>
      </c>
      <c r="F150" s="130" t="s">
        <v>316</v>
      </c>
      <c r="G150" s="130"/>
      <c r="H150" s="135"/>
      <c r="I150" s="128"/>
      <c r="J150" s="128"/>
      <c r="K150" s="128"/>
    </row>
    <row r="151" spans="1:15">
      <c r="B151" s="16"/>
      <c r="C151" s="63" t="s">
        <v>196</v>
      </c>
      <c r="D151" s="64" t="s">
        <v>197</v>
      </c>
      <c r="E151" s="64" t="s">
        <v>187</v>
      </c>
      <c r="F151" s="64" t="s">
        <v>316</v>
      </c>
      <c r="G151" s="64">
        <v>4</v>
      </c>
      <c r="H151" s="83" t="s">
        <v>400</v>
      </c>
      <c r="I151" s="13" t="s">
        <v>349</v>
      </c>
      <c r="J151" s="13" t="s">
        <v>253</v>
      </c>
      <c r="K151" s="13">
        <v>4</v>
      </c>
    </row>
    <row r="152" spans="1:15">
      <c r="B152" s="16"/>
      <c r="C152" s="66" t="s">
        <v>198</v>
      </c>
      <c r="D152" s="67" t="s">
        <v>199</v>
      </c>
      <c r="E152" s="67" t="s">
        <v>187</v>
      </c>
      <c r="F152" s="67" t="s">
        <v>316</v>
      </c>
      <c r="G152" s="67">
        <v>4</v>
      </c>
      <c r="H152" s="89" t="s">
        <v>400</v>
      </c>
      <c r="I152" s="13" t="s">
        <v>349</v>
      </c>
      <c r="J152" s="13" t="s">
        <v>254</v>
      </c>
      <c r="K152" s="13">
        <v>4</v>
      </c>
    </row>
    <row r="153" spans="1:15">
      <c r="B153" s="16"/>
      <c r="C153" s="63" t="s">
        <v>200</v>
      </c>
      <c r="D153" s="64" t="s">
        <v>201</v>
      </c>
      <c r="E153" s="64" t="s">
        <v>187</v>
      </c>
      <c r="F153" s="64" t="s">
        <v>316</v>
      </c>
      <c r="G153" s="64">
        <v>4</v>
      </c>
      <c r="H153" s="83" t="s">
        <v>400</v>
      </c>
      <c r="I153" s="13" t="s">
        <v>349</v>
      </c>
      <c r="J153" s="13" t="s">
        <v>297</v>
      </c>
      <c r="K153" s="13">
        <v>4</v>
      </c>
    </row>
    <row r="154" spans="1:15">
      <c r="B154" s="16"/>
      <c r="C154" s="66" t="s">
        <v>202</v>
      </c>
      <c r="D154" s="67" t="s">
        <v>203</v>
      </c>
      <c r="E154" s="67" t="s">
        <v>187</v>
      </c>
      <c r="F154" s="67" t="s">
        <v>316</v>
      </c>
      <c r="G154" s="67">
        <v>4</v>
      </c>
      <c r="H154" s="89" t="s">
        <v>400</v>
      </c>
      <c r="I154" s="13" t="s">
        <v>349</v>
      </c>
      <c r="J154" s="13" t="s">
        <v>254</v>
      </c>
      <c r="K154" s="13">
        <v>4</v>
      </c>
    </row>
    <row r="155" spans="1:15">
      <c r="B155" s="16"/>
      <c r="C155" s="63" t="s">
        <v>204</v>
      </c>
      <c r="D155" s="64" t="s">
        <v>205</v>
      </c>
      <c r="E155" s="64" t="s">
        <v>187</v>
      </c>
      <c r="F155" s="64" t="s">
        <v>316</v>
      </c>
      <c r="G155" s="64">
        <v>4</v>
      </c>
      <c r="H155" s="83" t="s">
        <v>400</v>
      </c>
      <c r="I155" s="13" t="s">
        <v>349</v>
      </c>
      <c r="J155" s="13" t="s">
        <v>269</v>
      </c>
      <c r="K155" s="13">
        <v>4</v>
      </c>
      <c r="L155" t="s">
        <v>274</v>
      </c>
    </row>
    <row r="156" spans="1:15">
      <c r="A156" s="103">
        <v>45849</v>
      </c>
      <c r="B156" s="16" t="s">
        <v>436</v>
      </c>
      <c r="C156" s="125" t="s">
        <v>440</v>
      </c>
      <c r="D156" s="126" t="s">
        <v>441</v>
      </c>
      <c r="E156" s="126" t="s">
        <v>187</v>
      </c>
      <c r="F156" s="126" t="s">
        <v>316</v>
      </c>
      <c r="G156" s="126"/>
      <c r="H156" s="127"/>
      <c r="I156" s="128"/>
      <c r="J156" s="128"/>
      <c r="K156" s="128"/>
    </row>
    <row r="157" spans="1:15">
      <c r="A157" s="103"/>
      <c r="B157" s="16" t="s">
        <v>436</v>
      </c>
      <c r="C157" s="125" t="s">
        <v>463</v>
      </c>
      <c r="D157" s="126" t="s">
        <v>464</v>
      </c>
      <c r="E157" s="126" t="s">
        <v>465</v>
      </c>
      <c r="F157" s="126" t="s">
        <v>316</v>
      </c>
      <c r="G157" s="126"/>
      <c r="H157" s="127"/>
      <c r="I157" s="128"/>
      <c r="J157" s="128"/>
      <c r="K157" s="128"/>
    </row>
    <row r="158" spans="1:15">
      <c r="B158" s="16"/>
      <c r="C158" s="66" t="s">
        <v>206</v>
      </c>
      <c r="D158" s="67" t="s">
        <v>207</v>
      </c>
      <c r="E158" s="67" t="s">
        <v>187</v>
      </c>
      <c r="F158" s="67" t="s">
        <v>316</v>
      </c>
      <c r="G158" s="67">
        <v>3</v>
      </c>
      <c r="H158" s="89" t="s">
        <v>401</v>
      </c>
      <c r="I158" s="13" t="s">
        <v>349</v>
      </c>
      <c r="J158" s="13" t="s">
        <v>254</v>
      </c>
      <c r="K158" s="13">
        <v>3</v>
      </c>
    </row>
    <row r="159" spans="1:15">
      <c r="B159" s="16"/>
      <c r="C159" s="63" t="s">
        <v>208</v>
      </c>
      <c r="D159" s="64" t="s">
        <v>209</v>
      </c>
      <c r="E159" s="64" t="s">
        <v>187</v>
      </c>
      <c r="F159" s="64" t="s">
        <v>316</v>
      </c>
      <c r="G159" s="64">
        <v>3</v>
      </c>
      <c r="H159" s="83" t="s">
        <v>401</v>
      </c>
      <c r="I159" s="13" t="s">
        <v>349</v>
      </c>
      <c r="J159" s="13" t="s">
        <v>298</v>
      </c>
      <c r="K159" s="13">
        <v>3</v>
      </c>
    </row>
    <row r="160" spans="1:15">
      <c r="A160" s="103">
        <v>45796</v>
      </c>
      <c r="B160" s="16" t="s">
        <v>439</v>
      </c>
      <c r="C160" s="63" t="s">
        <v>444</v>
      </c>
      <c r="D160" s="64" t="s">
        <v>445</v>
      </c>
      <c r="E160" s="64" t="s">
        <v>187</v>
      </c>
      <c r="F160" s="64" t="s">
        <v>316</v>
      </c>
      <c r="G160" s="64">
        <v>3</v>
      </c>
      <c r="H160" s="83" t="s">
        <v>442</v>
      </c>
      <c r="I160" s="13" t="s">
        <v>443</v>
      </c>
      <c r="J160" s="13" t="s">
        <v>446</v>
      </c>
      <c r="K160" s="13">
        <v>3</v>
      </c>
      <c r="L160" s="108" t="s">
        <v>447</v>
      </c>
    </row>
    <row r="161" spans="1:14">
      <c r="B161" s="16"/>
      <c r="C161" s="66" t="s">
        <v>210</v>
      </c>
      <c r="D161" s="67" t="s">
        <v>211</v>
      </c>
      <c r="E161" s="67" t="s">
        <v>187</v>
      </c>
      <c r="F161" s="67" t="s">
        <v>316</v>
      </c>
      <c r="G161" s="67">
        <v>3</v>
      </c>
      <c r="H161" s="89" t="s">
        <v>401</v>
      </c>
      <c r="I161" s="13" t="s">
        <v>349</v>
      </c>
      <c r="J161" s="13" t="s">
        <v>259</v>
      </c>
      <c r="K161" s="13">
        <v>3</v>
      </c>
    </row>
    <row r="162" spans="1:14">
      <c r="B162" s="16"/>
      <c r="C162" s="63" t="s">
        <v>212</v>
      </c>
      <c r="D162" s="64" t="s">
        <v>213</v>
      </c>
      <c r="E162" s="64" t="s">
        <v>187</v>
      </c>
      <c r="F162" s="64" t="s">
        <v>316</v>
      </c>
      <c r="G162" s="64">
        <v>3</v>
      </c>
      <c r="H162" s="83" t="s">
        <v>401</v>
      </c>
      <c r="I162" s="13" t="s">
        <v>349</v>
      </c>
      <c r="J162" s="13" t="s">
        <v>254</v>
      </c>
      <c r="K162" s="13">
        <v>3</v>
      </c>
    </row>
    <row r="163" spans="1:14">
      <c r="A163" s="103">
        <v>45972</v>
      </c>
      <c r="B163" t="s">
        <v>439</v>
      </c>
      <c r="C163" s="12" t="s">
        <v>471</v>
      </c>
      <c r="D163" s="12" t="s">
        <v>472</v>
      </c>
      <c r="E163" s="12" t="s">
        <v>473</v>
      </c>
      <c r="F163" s="12" t="s">
        <v>316</v>
      </c>
      <c r="G163" s="12">
        <v>3</v>
      </c>
      <c r="H163" s="100" t="s">
        <v>474</v>
      </c>
      <c r="I163" s="13" t="s">
        <v>475</v>
      </c>
      <c r="J163" s="13" t="s">
        <v>476</v>
      </c>
      <c r="K163" s="13">
        <v>3</v>
      </c>
    </row>
    <row r="164" spans="1:14">
      <c r="C164" s="142"/>
      <c r="D164" s="143"/>
      <c r="E164" s="143"/>
      <c r="F164" s="143"/>
      <c r="G164" s="143"/>
      <c r="H164" s="144"/>
    </row>
    <row r="165" spans="1:14" s="3" customFormat="1">
      <c r="C165" s="60"/>
      <c r="D165" s="61"/>
      <c r="E165" s="61"/>
      <c r="F165" s="67" t="s">
        <v>317</v>
      </c>
      <c r="G165" s="95"/>
      <c r="H165" s="96"/>
      <c r="I165" s="9" t="s">
        <v>251</v>
      </c>
      <c r="J165" s="9" t="s">
        <v>358</v>
      </c>
      <c r="K165" s="9" t="s">
        <v>255</v>
      </c>
    </row>
    <row r="166" spans="1:14">
      <c r="C166" s="147" t="s">
        <v>214</v>
      </c>
      <c r="D166" s="147" t="s">
        <v>215</v>
      </c>
      <c r="E166" s="147" t="s">
        <v>216</v>
      </c>
      <c r="F166" s="147" t="s">
        <v>317</v>
      </c>
      <c r="G166" s="147">
        <v>4</v>
      </c>
      <c r="H166" s="148" t="s">
        <v>404</v>
      </c>
      <c r="I166" s="13" t="s">
        <v>350</v>
      </c>
      <c r="J166" s="13">
        <v>19</v>
      </c>
      <c r="K166" s="13">
        <v>4</v>
      </c>
    </row>
    <row r="167" spans="1:14">
      <c r="C167" s="12" t="s">
        <v>217</v>
      </c>
      <c r="D167" s="12" t="s">
        <v>218</v>
      </c>
      <c r="E167" s="12" t="s">
        <v>216</v>
      </c>
      <c r="F167" s="12" t="s">
        <v>317</v>
      </c>
      <c r="G167" s="12">
        <v>4</v>
      </c>
      <c r="H167" s="100" t="s">
        <v>404</v>
      </c>
      <c r="I167" s="13" t="s">
        <v>350</v>
      </c>
      <c r="J167" s="13">
        <v>9</v>
      </c>
      <c r="K167" s="13">
        <v>4</v>
      </c>
    </row>
    <row r="168" spans="1:14">
      <c r="C168" s="147" t="s">
        <v>219</v>
      </c>
      <c r="D168" s="147" t="s">
        <v>220</v>
      </c>
      <c r="E168" s="147" t="s">
        <v>216</v>
      </c>
      <c r="F168" s="147" t="s">
        <v>317</v>
      </c>
      <c r="G168" s="147">
        <v>4</v>
      </c>
      <c r="H168" s="148" t="s">
        <v>404</v>
      </c>
      <c r="I168" s="13" t="s">
        <v>350</v>
      </c>
      <c r="J168" s="13">
        <v>9</v>
      </c>
      <c r="K168" s="13">
        <v>4</v>
      </c>
    </row>
    <row r="169" spans="1:14">
      <c r="C169" s="12" t="s">
        <v>221</v>
      </c>
      <c r="D169" s="12" t="s">
        <v>222</v>
      </c>
      <c r="E169" s="12" t="s">
        <v>216</v>
      </c>
      <c r="F169" s="12" t="s">
        <v>317</v>
      </c>
      <c r="G169" s="12">
        <v>3</v>
      </c>
      <c r="H169" s="100" t="s">
        <v>405</v>
      </c>
      <c r="I169" s="13" t="s">
        <v>350</v>
      </c>
      <c r="J169" s="13">
        <v>15</v>
      </c>
      <c r="K169" s="13">
        <v>3</v>
      </c>
    </row>
    <row r="170" spans="1:14">
      <c r="A170" s="103">
        <v>46049</v>
      </c>
      <c r="B170" t="s">
        <v>489</v>
      </c>
      <c r="C170" s="12" t="s">
        <v>490</v>
      </c>
      <c r="D170" s="12" t="s">
        <v>491</v>
      </c>
      <c r="E170" s="12" t="s">
        <v>492</v>
      </c>
      <c r="F170" s="12" t="s">
        <v>317</v>
      </c>
      <c r="G170" s="12">
        <v>4</v>
      </c>
      <c r="H170" s="100" t="s">
        <v>493</v>
      </c>
      <c r="I170" s="13" t="s">
        <v>494</v>
      </c>
      <c r="J170" s="13">
        <v>7</v>
      </c>
      <c r="K170" s="13">
        <v>4</v>
      </c>
    </row>
    <row r="171" spans="1:14">
      <c r="A171" s="103">
        <v>46031</v>
      </c>
      <c r="B171" t="s">
        <v>489</v>
      </c>
      <c r="C171" s="152" t="s">
        <v>486</v>
      </c>
      <c r="D171" s="152" t="s">
        <v>487</v>
      </c>
      <c r="E171" s="152" t="s">
        <v>488</v>
      </c>
      <c r="F171" s="152" t="s">
        <v>317</v>
      </c>
      <c r="G171" s="152"/>
      <c r="H171" s="153"/>
      <c r="I171" s="128"/>
      <c r="J171" s="154"/>
      <c r="K171" s="128"/>
      <c r="L171" t="s">
        <v>495</v>
      </c>
    </row>
    <row r="172" spans="1:14">
      <c r="C172" s="145"/>
      <c r="H172" s="146"/>
    </row>
    <row r="173" spans="1:14" s="3" customFormat="1">
      <c r="C173" s="77"/>
      <c r="D173" s="78"/>
      <c r="E173" s="78"/>
      <c r="F173" s="64"/>
      <c r="G173" s="79"/>
      <c r="H173" s="92"/>
      <c r="I173" s="9" t="s">
        <v>360</v>
      </c>
      <c r="J173" s="9" t="s">
        <v>357</v>
      </c>
      <c r="K173" s="9" t="s">
        <v>255</v>
      </c>
      <c r="L173" s="9" t="s">
        <v>362</v>
      </c>
      <c r="M173" s="9" t="s">
        <v>357</v>
      </c>
      <c r="N173" s="9" t="s">
        <v>255</v>
      </c>
    </row>
    <row r="174" spans="1:14">
      <c r="B174" s="16"/>
      <c r="C174" s="66" t="s">
        <v>223</v>
      </c>
      <c r="D174" s="67" t="s">
        <v>224</v>
      </c>
      <c r="E174" s="67" t="s">
        <v>225</v>
      </c>
      <c r="F174" s="67" t="s">
        <v>336</v>
      </c>
      <c r="G174" s="67">
        <v>3</v>
      </c>
      <c r="H174" s="89" t="s">
        <v>428</v>
      </c>
      <c r="I174" s="13" t="s">
        <v>329</v>
      </c>
      <c r="J174" s="13">
        <v>5</v>
      </c>
      <c r="K174" s="13">
        <v>3</v>
      </c>
      <c r="L174" s="13" t="s">
        <v>332</v>
      </c>
      <c r="M174" s="13">
        <v>7</v>
      </c>
      <c r="N174" s="13">
        <v>3</v>
      </c>
    </row>
    <row r="175" spans="1:14">
      <c r="B175" s="16"/>
      <c r="C175" s="63" t="s">
        <v>226</v>
      </c>
      <c r="D175" s="64" t="s">
        <v>227</v>
      </c>
      <c r="E175" s="64" t="s">
        <v>225</v>
      </c>
      <c r="F175" s="64" t="s">
        <v>336</v>
      </c>
      <c r="G175" s="64">
        <v>3</v>
      </c>
      <c r="H175" s="83" t="s">
        <v>428</v>
      </c>
      <c r="I175" s="13" t="s">
        <v>329</v>
      </c>
      <c r="J175" s="13">
        <v>11</v>
      </c>
      <c r="K175" s="13">
        <v>3</v>
      </c>
      <c r="L175" s="13" t="s">
        <v>332</v>
      </c>
      <c r="M175" s="13">
        <v>11</v>
      </c>
      <c r="N175" s="13">
        <v>3</v>
      </c>
    </row>
    <row r="176" spans="1:14">
      <c r="B176" s="16"/>
      <c r="C176" s="66" t="s">
        <v>228</v>
      </c>
      <c r="D176" s="67" t="s">
        <v>229</v>
      </c>
      <c r="E176" s="67" t="s">
        <v>225</v>
      </c>
      <c r="F176" s="67" t="s">
        <v>336</v>
      </c>
      <c r="G176" s="67">
        <v>3</v>
      </c>
      <c r="H176" s="89" t="s">
        <v>428</v>
      </c>
      <c r="I176" s="13" t="s">
        <v>329</v>
      </c>
      <c r="J176" s="13">
        <v>7</v>
      </c>
      <c r="K176" s="13">
        <v>3</v>
      </c>
      <c r="L176" s="13" t="s">
        <v>332</v>
      </c>
      <c r="M176" s="13">
        <v>9</v>
      </c>
      <c r="N176" s="13">
        <v>3</v>
      </c>
    </row>
    <row r="177" spans="2:15">
      <c r="B177" s="16"/>
      <c r="C177" s="63" t="s">
        <v>230</v>
      </c>
      <c r="D177" s="64" t="s">
        <v>231</v>
      </c>
      <c r="E177" s="64" t="s">
        <v>225</v>
      </c>
      <c r="F177" s="64" t="s">
        <v>336</v>
      </c>
      <c r="G177" s="64">
        <v>3</v>
      </c>
      <c r="H177" s="83" t="s">
        <v>428</v>
      </c>
      <c r="I177" s="13" t="s">
        <v>329</v>
      </c>
      <c r="J177" s="13">
        <v>15</v>
      </c>
      <c r="K177" s="13">
        <v>3</v>
      </c>
      <c r="L177" s="13" t="s">
        <v>332</v>
      </c>
      <c r="M177" s="13">
        <v>15</v>
      </c>
      <c r="N177" s="13">
        <v>3</v>
      </c>
    </row>
    <row r="178" spans="2:15">
      <c r="B178" s="16"/>
      <c r="C178" s="66" t="s">
        <v>232</v>
      </c>
      <c r="D178" s="67" t="s">
        <v>233</v>
      </c>
      <c r="E178" s="67" t="s">
        <v>225</v>
      </c>
      <c r="F178" s="67" t="s">
        <v>336</v>
      </c>
      <c r="G178" s="67">
        <v>3</v>
      </c>
      <c r="H178" s="89" t="s">
        <v>428</v>
      </c>
      <c r="I178" s="13" t="s">
        <v>329</v>
      </c>
      <c r="J178" s="13">
        <v>15</v>
      </c>
      <c r="K178" s="13">
        <v>3</v>
      </c>
      <c r="L178" s="13" t="s">
        <v>334</v>
      </c>
      <c r="M178" s="13">
        <v>17</v>
      </c>
      <c r="N178" s="13">
        <v>3</v>
      </c>
    </row>
    <row r="179" spans="2:15">
      <c r="B179" s="16"/>
      <c r="C179" s="63" t="s">
        <v>234</v>
      </c>
      <c r="D179" s="64" t="s">
        <v>235</v>
      </c>
      <c r="E179" s="64" t="s">
        <v>225</v>
      </c>
      <c r="F179" s="64" t="s">
        <v>336</v>
      </c>
      <c r="G179" s="64">
        <v>3</v>
      </c>
      <c r="H179" s="83" t="s">
        <v>428</v>
      </c>
      <c r="I179" s="13" t="s">
        <v>329</v>
      </c>
      <c r="J179" s="13">
        <v>9</v>
      </c>
      <c r="K179" s="13">
        <v>3</v>
      </c>
      <c r="L179" s="13" t="s">
        <v>332</v>
      </c>
      <c r="M179" s="13">
        <v>11</v>
      </c>
      <c r="N179" s="13">
        <v>3</v>
      </c>
      <c r="O179" t="s">
        <v>276</v>
      </c>
    </row>
    <row r="180" spans="2:15">
      <c r="B180" s="16"/>
      <c r="C180" s="66" t="s">
        <v>236</v>
      </c>
      <c r="D180" s="67" t="s">
        <v>237</v>
      </c>
      <c r="E180" s="67" t="s">
        <v>225</v>
      </c>
      <c r="F180" s="67" t="s">
        <v>336</v>
      </c>
      <c r="G180" s="67">
        <v>3</v>
      </c>
      <c r="H180" s="89" t="s">
        <v>428</v>
      </c>
      <c r="I180" s="13" t="s">
        <v>329</v>
      </c>
      <c r="J180" s="13">
        <v>7</v>
      </c>
      <c r="K180" s="13">
        <v>3</v>
      </c>
      <c r="L180" s="13" t="s">
        <v>332</v>
      </c>
      <c r="M180" s="13">
        <v>5</v>
      </c>
      <c r="N180" s="13">
        <v>3</v>
      </c>
    </row>
    <row r="181" spans="2:15">
      <c r="B181" s="16"/>
      <c r="C181" s="63" t="s">
        <v>238</v>
      </c>
      <c r="D181" s="64" t="s">
        <v>239</v>
      </c>
      <c r="E181" s="64" t="s">
        <v>225</v>
      </c>
      <c r="F181" s="64" t="s">
        <v>336</v>
      </c>
      <c r="G181" s="64">
        <v>3</v>
      </c>
      <c r="H181" s="83" t="s">
        <v>428</v>
      </c>
      <c r="I181" s="13" t="s">
        <v>329</v>
      </c>
      <c r="J181" s="13">
        <v>13</v>
      </c>
      <c r="K181" s="13">
        <v>3</v>
      </c>
      <c r="L181" s="13" t="s">
        <v>332</v>
      </c>
      <c r="M181" s="13">
        <v>11</v>
      </c>
      <c r="N181" s="13">
        <v>3</v>
      </c>
    </row>
    <row r="182" spans="2:15">
      <c r="B182" s="16"/>
      <c r="C182" s="98" t="s">
        <v>245</v>
      </c>
      <c r="D182" s="99" t="s">
        <v>246</v>
      </c>
      <c r="E182" s="99" t="s">
        <v>225</v>
      </c>
      <c r="F182" s="99" t="s">
        <v>336</v>
      </c>
      <c r="G182" s="99">
        <v>3</v>
      </c>
      <c r="H182" s="100" t="s">
        <v>428</v>
      </c>
      <c r="I182" s="13" t="s">
        <v>329</v>
      </c>
      <c r="J182" s="13">
        <v>11</v>
      </c>
      <c r="K182" s="13">
        <v>3</v>
      </c>
      <c r="L182" s="13" t="s">
        <v>332</v>
      </c>
      <c r="M182" s="13">
        <v>13</v>
      </c>
      <c r="N182" s="13">
        <v>3</v>
      </c>
    </row>
  </sheetData>
  <autoFilter ref="A1:Z182" xr:uid="{D6D131AB-3364-4022-AB86-F7E048D18B5C}"/>
  <mergeCells count="1">
    <mergeCell ref="N144:O144"/>
  </mergeCells>
  <phoneticPr fontId="1"/>
  <pageMargins left="0.70866141732283472" right="0.70866141732283472" top="0.74803149606299213" bottom="0.74803149606299213" header="0.31496062992125984" footer="0.31496062992125984"/>
  <pageSetup paperSize="12" scale="48" fitToHeight="0" orientation="landscape" r:id="rId1"/>
  <rowBreaks count="3" manualBreakCount="3">
    <brk id="47" max="16383" man="1"/>
    <brk id="95" max="16383" man="1"/>
    <brk id="143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1E7024-AF08-45A1-9F43-24A31BD738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請求明細</vt:lpstr>
      <vt:lpstr>個人明細　入力用</vt:lpstr>
      <vt:lpstr>請求明細!Print_Area</vt:lpstr>
      <vt:lpstr>'個人明細　入力用'!Print_Titles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2025-10-07T07:33:58Z</cp:lastPrinted>
  <dcterms:created xsi:type="dcterms:W3CDTF">2024-12-20T07:58:09Z</dcterms:created>
  <dcterms:modified xsi:type="dcterms:W3CDTF">2026-05-12T07:17:03Z</dcterms:modified>
</cp:coreProperties>
</file>