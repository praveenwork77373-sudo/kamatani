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4在宅ほくと\"/>
    </mc:Choice>
  </mc:AlternateContent>
  <xr:revisionPtr revIDLastSave="0" documentId="13_ncr:1_{43DD5DBE-B20F-415A-A52C-F1D2DEA06476}" xr6:coauthVersionLast="47" xr6:coauthVersionMax="47" xr10:uidLastSave="{00000000-0000-0000-0000-000000000000}"/>
  <bookViews>
    <workbookView xWindow="-120" yWindow="-120" windowWidth="29040" windowHeight="15720" xr2:uid="{1FED1450-F3D5-43F5-8E97-EF7B20612181}"/>
  </bookViews>
  <sheets>
    <sheet name="請求合計" sheetId="2" r:id="rId1"/>
    <sheet name="請求詳細" sheetId="1" r:id="rId2"/>
  </sheets>
  <definedNames>
    <definedName name="_xlnm._FilterDatabase" localSheetId="1" hidden="1">請求詳細!$A$1:$T$133</definedName>
    <definedName name="_xlnm.Print_Area" localSheetId="0">請求合計!$A$1:$J$28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  <c r="J23" i="2" s="1"/>
  <c r="G23" i="2"/>
  <c r="F23" i="2"/>
  <c r="E23" i="2"/>
  <c r="D23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D25" i="2"/>
  <c r="E25" i="2"/>
  <c r="F25" i="2"/>
  <c r="G25" i="2"/>
  <c r="E5" i="2"/>
  <c r="F5" i="2"/>
  <c r="G5" i="2"/>
  <c r="D5" i="2"/>
  <c r="H11" i="2"/>
  <c r="J11" i="2" s="1"/>
  <c r="H7" i="2"/>
  <c r="J7" i="2" s="1"/>
  <c r="H8" i="2"/>
  <c r="J8" i="2" s="1"/>
  <c r="H6" i="2"/>
  <c r="J6" i="2" s="1"/>
  <c r="H9" i="2"/>
  <c r="J9" i="2" s="1"/>
  <c r="H10" i="2"/>
  <c r="J10" i="2" s="1"/>
  <c r="H12" i="2"/>
  <c r="J12" i="2" s="1"/>
  <c r="H13" i="2"/>
  <c r="J13" i="2" s="1"/>
  <c r="J14" i="2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4" i="2"/>
  <c r="J24" i="2" s="1"/>
  <c r="H25" i="2"/>
  <c r="J25" i="2" s="1"/>
  <c r="H5" i="2"/>
  <c r="K23" i="2" l="1"/>
  <c r="E26" i="2"/>
  <c r="K9" i="2"/>
  <c r="K25" i="2"/>
  <c r="K24" i="2"/>
  <c r="K20" i="2"/>
  <c r="K17" i="2"/>
  <c r="K14" i="2"/>
  <c r="K11" i="2"/>
  <c r="K8" i="2"/>
  <c r="D26" i="2"/>
  <c r="G26" i="2"/>
  <c r="F26" i="2"/>
  <c r="K22" i="2"/>
  <c r="K19" i="2"/>
  <c r="K16" i="2"/>
  <c r="K13" i="2"/>
  <c r="K10" i="2"/>
  <c r="K7" i="2"/>
  <c r="K21" i="2"/>
  <c r="K18" i="2"/>
  <c r="K15" i="2"/>
  <c r="K12" i="2"/>
  <c r="K6" i="2"/>
  <c r="K5" i="2"/>
  <c r="H26" i="2"/>
  <c r="J5" i="2"/>
  <c r="J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鳥居 史寛</author>
  </authors>
  <commentList>
    <comment ref="F108" authorId="0" shapeId="0" xr:uid="{F762E115-C4E3-43CB-8C14-59D73EE0BAE2}">
      <text>
        <r>
          <rPr>
            <b/>
            <sz val="9"/>
            <color indexed="81"/>
            <rFont val="MS P ゴシック"/>
            <family val="3"/>
            <charset val="128"/>
          </rPr>
          <t>鳥居 史寛:</t>
        </r>
        <r>
          <rPr>
            <sz val="9"/>
            <color indexed="81"/>
            <rFont val="MS P ゴシック"/>
            <family val="3"/>
            <charset val="128"/>
          </rPr>
          <t xml:space="preserve">
2025年12月
契約コードの変更により、R0243からR0244に変更（内容は変更なし）</t>
        </r>
      </text>
    </comment>
  </commentList>
</comments>
</file>

<file path=xl/sharedStrings.xml><?xml version="1.0" encoding="utf-8"?>
<sst xmlns="http://schemas.openxmlformats.org/spreadsheetml/2006/main" count="1210" uniqueCount="274">
  <si>
    <t>番号</t>
    <rPh sb="0" eb="2">
      <t>バンゴウ</t>
    </rPh>
    <phoneticPr fontId="4"/>
  </si>
  <si>
    <t>職種</t>
    <rPh sb="0" eb="2">
      <t>ショクシュ</t>
    </rPh>
    <phoneticPr fontId="4"/>
  </si>
  <si>
    <t>所属</t>
    <rPh sb="0" eb="2">
      <t>ショゾク</t>
    </rPh>
    <phoneticPr fontId="4"/>
  </si>
  <si>
    <t>氏名</t>
    <rPh sb="0" eb="2">
      <t>シメイ</t>
    </rPh>
    <phoneticPr fontId="4"/>
  </si>
  <si>
    <t>上衣品番</t>
    <rPh sb="0" eb="2">
      <t>ジョウイ</t>
    </rPh>
    <rPh sb="2" eb="4">
      <t>ヒンバン</t>
    </rPh>
    <phoneticPr fontId="4"/>
  </si>
  <si>
    <t>色番</t>
    <rPh sb="0" eb="1">
      <t>イロ</t>
    </rPh>
    <rPh sb="1" eb="2">
      <t>バン</t>
    </rPh>
    <phoneticPr fontId="4"/>
  </si>
  <si>
    <t>サイズ</t>
    <phoneticPr fontId="4"/>
  </si>
  <si>
    <t>枚数</t>
    <rPh sb="0" eb="2">
      <t>マイスウ</t>
    </rPh>
    <phoneticPr fontId="4"/>
  </si>
  <si>
    <t>下衣品番</t>
    <rPh sb="0" eb="2">
      <t>カイ</t>
    </rPh>
    <rPh sb="2" eb="4">
      <t>ヒンバン</t>
    </rPh>
    <phoneticPr fontId="4"/>
  </si>
  <si>
    <t>股下</t>
    <rPh sb="0" eb="2">
      <t>マタシタ</t>
    </rPh>
    <phoneticPr fontId="4"/>
  </si>
  <si>
    <t>ﾍﾙﾊﾟｰｽﾃｰｼｮﾝサービス提供責任者</t>
    <phoneticPr fontId="4"/>
  </si>
  <si>
    <t>ケアホームⅡ</t>
    <phoneticPr fontId="4"/>
  </si>
  <si>
    <t>松尾　久美子</t>
    <rPh sb="0" eb="2">
      <t>マツオ</t>
    </rPh>
    <rPh sb="3" eb="6">
      <t>クミコ</t>
    </rPh>
    <phoneticPr fontId="4"/>
  </si>
  <si>
    <t>UZL3207-3</t>
  </si>
  <si>
    <t>L</t>
    <phoneticPr fontId="4"/>
  </si>
  <si>
    <t>UZL2013-5</t>
    <phoneticPr fontId="4"/>
  </si>
  <si>
    <t>M</t>
    <phoneticPr fontId="4"/>
  </si>
  <si>
    <t>6021SC-9</t>
  </si>
  <si>
    <t>M</t>
  </si>
  <si>
    <t>L</t>
  </si>
  <si>
    <t>UZL2013-5</t>
  </si>
  <si>
    <t>伊庭　美佳子</t>
  </si>
  <si>
    <t>LL</t>
  </si>
  <si>
    <t>SS</t>
  </si>
  <si>
    <t>7069SC-9</t>
  </si>
  <si>
    <t>S</t>
  </si>
  <si>
    <t>吉田　美保</t>
    <rPh sb="0" eb="2">
      <t>ヨシダ</t>
    </rPh>
    <rPh sb="3" eb="5">
      <t>ミホ</t>
    </rPh>
    <phoneticPr fontId="4"/>
  </si>
  <si>
    <t>LL</t>
    <phoneticPr fontId="4"/>
  </si>
  <si>
    <t>RF5192</t>
  </si>
  <si>
    <t>UZL2041-5</t>
  </si>
  <si>
    <t>ﾀｰｺｲｽﾞ×ﾈｲﾋﾞｰ</t>
  </si>
  <si>
    <t>加賀山　華恵</t>
    <rPh sb="0" eb="3">
      <t>カガヤマ</t>
    </rPh>
    <rPh sb="4" eb="6">
      <t>ハナエ</t>
    </rPh>
    <phoneticPr fontId="4"/>
  </si>
  <si>
    <t>SS</t>
    <phoneticPr fontId="4"/>
  </si>
  <si>
    <t>EL</t>
  </si>
  <si>
    <t>ﾈｲﾋﾞｰ×ﾀｰｺｲｽﾞ</t>
  </si>
  <si>
    <t>4L</t>
  </si>
  <si>
    <t>ヘルパーＳＴ</t>
  </si>
  <si>
    <t>ケアホームⅡ</t>
  </si>
  <si>
    <t>山城　光司</t>
    <rPh sb="0" eb="2">
      <t>ヤマシロ</t>
    </rPh>
    <rPh sb="3" eb="5">
      <t>コウジ</t>
    </rPh>
    <phoneticPr fontId="4"/>
  </si>
  <si>
    <t>UZL3073-2</t>
  </si>
  <si>
    <t>EL</t>
    <phoneticPr fontId="4"/>
  </si>
  <si>
    <t>RF5197</t>
  </si>
  <si>
    <t>原田　友紀</t>
    <rPh sb="0" eb="2">
      <t>ハラダ</t>
    </rPh>
    <rPh sb="3" eb="5">
      <t>ユキ</t>
    </rPh>
    <phoneticPr fontId="4"/>
  </si>
  <si>
    <t>BL</t>
  </si>
  <si>
    <t>松村　泰子</t>
    <rPh sb="0" eb="1">
      <t>マツ</t>
    </rPh>
    <rPh sb="1" eb="2">
      <t>ムラ</t>
    </rPh>
    <rPh sb="3" eb="5">
      <t>ヤスコ</t>
    </rPh>
    <phoneticPr fontId="4"/>
  </si>
  <si>
    <t>池﨑　万理子</t>
    <rPh sb="0" eb="1">
      <t>イケ</t>
    </rPh>
    <rPh sb="1" eb="2">
      <t>サキ</t>
    </rPh>
    <rPh sb="3" eb="5">
      <t>マリ</t>
    </rPh>
    <rPh sb="5" eb="6">
      <t>コ</t>
    </rPh>
    <phoneticPr fontId="4"/>
  </si>
  <si>
    <t>UZL3073-41</t>
  </si>
  <si>
    <t>谷川　尚美</t>
    <rPh sb="0" eb="2">
      <t>タニガワ</t>
    </rPh>
    <rPh sb="3" eb="5">
      <t>ナオミ</t>
    </rPh>
    <phoneticPr fontId="4"/>
  </si>
  <si>
    <t>浅野　惠理子</t>
    <rPh sb="0" eb="2">
      <t>アサノ</t>
    </rPh>
    <rPh sb="3" eb="6">
      <t>エリコ</t>
    </rPh>
    <phoneticPr fontId="4"/>
  </si>
  <si>
    <t>S</t>
    <phoneticPr fontId="4"/>
  </si>
  <si>
    <t>市丸　眞理</t>
    <rPh sb="0" eb="2">
      <t>イチマル</t>
    </rPh>
    <rPh sb="3" eb="5">
      <t>マリ</t>
    </rPh>
    <phoneticPr fontId="4"/>
  </si>
  <si>
    <t>安田　千景</t>
    <rPh sb="0" eb="2">
      <t>ヤスダ</t>
    </rPh>
    <rPh sb="3" eb="5">
      <t>チカゲ</t>
    </rPh>
    <phoneticPr fontId="4"/>
  </si>
  <si>
    <t>今田　寛人</t>
    <rPh sb="3" eb="5">
      <t>ヒロト</t>
    </rPh>
    <phoneticPr fontId="4"/>
  </si>
  <si>
    <t>松下　瑠美</t>
    <rPh sb="0" eb="2">
      <t>マツシタ</t>
    </rPh>
    <rPh sb="3" eb="5">
      <t>ルミ</t>
    </rPh>
    <phoneticPr fontId="4"/>
  </si>
  <si>
    <t>林　純子</t>
    <rPh sb="0" eb="1">
      <t>ハヤシ</t>
    </rPh>
    <rPh sb="2" eb="4">
      <t>ジュンコ</t>
    </rPh>
    <phoneticPr fontId="4"/>
  </si>
  <si>
    <t>ラポール</t>
    <phoneticPr fontId="4"/>
  </si>
  <si>
    <t>天野　久美子</t>
    <rPh sb="0" eb="2">
      <t>アマノ</t>
    </rPh>
    <rPh sb="3" eb="6">
      <t>クミコ</t>
    </rPh>
    <phoneticPr fontId="4"/>
  </si>
  <si>
    <t>UZL2041-5</t>
    <phoneticPr fontId="4"/>
  </si>
  <si>
    <t>立野　彩名</t>
    <rPh sb="0" eb="2">
      <t>タテノ</t>
    </rPh>
    <rPh sb="3" eb="5">
      <t>アヤナ</t>
    </rPh>
    <phoneticPr fontId="4"/>
  </si>
  <si>
    <t>泉　久子</t>
    <rPh sb="0" eb="1">
      <t>イズミ</t>
    </rPh>
    <rPh sb="2" eb="4">
      <t>ヒサコ</t>
    </rPh>
    <phoneticPr fontId="4"/>
  </si>
  <si>
    <t>野山　文代</t>
    <rPh sb="0" eb="2">
      <t>ノヤマ</t>
    </rPh>
    <rPh sb="3" eb="5">
      <t>フミヨ</t>
    </rPh>
    <phoneticPr fontId="4"/>
  </si>
  <si>
    <t>鹿島　さゆり</t>
    <rPh sb="0" eb="2">
      <t>カシマ</t>
    </rPh>
    <phoneticPr fontId="4"/>
  </si>
  <si>
    <t>堀之内　さとみ</t>
    <rPh sb="0" eb="3">
      <t>ホリノウチ</t>
    </rPh>
    <phoneticPr fontId="4"/>
  </si>
  <si>
    <t>坂梨　真知子</t>
    <rPh sb="0" eb="2">
      <t>サカナシ</t>
    </rPh>
    <rPh sb="3" eb="6">
      <t>マチコ</t>
    </rPh>
    <phoneticPr fontId="4"/>
  </si>
  <si>
    <t>金田　博子</t>
    <rPh sb="0" eb="2">
      <t>カネダ</t>
    </rPh>
    <rPh sb="3" eb="5">
      <t>ヒロコ</t>
    </rPh>
    <phoneticPr fontId="4"/>
  </si>
  <si>
    <t>UZL3073-41</t>
    <phoneticPr fontId="4"/>
  </si>
  <si>
    <t>大谷　千晶</t>
    <rPh sb="0" eb="2">
      <t>オオタニ</t>
    </rPh>
    <rPh sb="3" eb="5">
      <t>チアキ</t>
    </rPh>
    <phoneticPr fontId="4"/>
  </si>
  <si>
    <t>関口　くみ</t>
    <rPh sb="0" eb="2">
      <t>セキグチ</t>
    </rPh>
    <phoneticPr fontId="4"/>
  </si>
  <si>
    <t>片山　里沙子</t>
    <rPh sb="0" eb="2">
      <t>カタヤマ</t>
    </rPh>
    <rPh sb="3" eb="6">
      <t>リサコ</t>
    </rPh>
    <phoneticPr fontId="4"/>
  </si>
  <si>
    <t>ﾍﾙﾊﾟｰｽﾃｰｼｮﾝサービス提供責任者</t>
  </si>
  <si>
    <t>ケアホーム</t>
  </si>
  <si>
    <t>坂本　祐美子</t>
    <rPh sb="0" eb="2">
      <t>サカモト</t>
    </rPh>
    <phoneticPr fontId="4"/>
  </si>
  <si>
    <t>古市　志郎</t>
  </si>
  <si>
    <t>黒田　晋平</t>
    <rPh sb="0" eb="2">
      <t>クロダ</t>
    </rPh>
    <rPh sb="3" eb="5">
      <t>シンペイ</t>
    </rPh>
    <phoneticPr fontId="4"/>
  </si>
  <si>
    <t>木寺　千鶴</t>
  </si>
  <si>
    <t>黒澤　美佐枝</t>
  </si>
  <si>
    <t>橋爪　奈未</t>
    <rPh sb="0" eb="2">
      <t>ハシツメ</t>
    </rPh>
    <rPh sb="3" eb="4">
      <t>ナ</t>
    </rPh>
    <rPh sb="4" eb="5">
      <t>ミ</t>
    </rPh>
    <phoneticPr fontId="4"/>
  </si>
  <si>
    <t>行本　喜代子</t>
    <rPh sb="0" eb="2">
      <t>ユクモト</t>
    </rPh>
    <rPh sb="3" eb="6">
      <t>キヨコ</t>
    </rPh>
    <phoneticPr fontId="4"/>
  </si>
  <si>
    <t>平田　紀代美</t>
  </si>
  <si>
    <t>森　享子</t>
  </si>
  <si>
    <t>ラポール</t>
  </si>
  <si>
    <t>白井　真由美</t>
  </si>
  <si>
    <t>梅林　千恵美　</t>
  </si>
  <si>
    <t>加茂前　利恵</t>
    <rPh sb="0" eb="2">
      <t>カモ</t>
    </rPh>
    <rPh sb="2" eb="3">
      <t>マエ</t>
    </rPh>
    <rPh sb="4" eb="6">
      <t>リエ</t>
    </rPh>
    <phoneticPr fontId="4"/>
  </si>
  <si>
    <t>林　恵子</t>
    <rPh sb="0" eb="1">
      <t>ハヤシ</t>
    </rPh>
    <rPh sb="2" eb="4">
      <t>ケイコ</t>
    </rPh>
    <phoneticPr fontId="4"/>
  </si>
  <si>
    <t>西井　節子</t>
  </si>
  <si>
    <t>山下　郁代</t>
    <rPh sb="0" eb="2">
      <t>ヤマシタ</t>
    </rPh>
    <rPh sb="3" eb="5">
      <t>イクヨ</t>
    </rPh>
    <phoneticPr fontId="4"/>
  </si>
  <si>
    <t>是枝　哲子</t>
  </si>
  <si>
    <t>小山　ひとみ</t>
  </si>
  <si>
    <t>岩　英子</t>
  </si>
  <si>
    <t>垣花　仁美</t>
    <rPh sb="0" eb="2">
      <t>カキハナ</t>
    </rPh>
    <rPh sb="3" eb="5">
      <t>ヒトミ</t>
    </rPh>
    <phoneticPr fontId="4"/>
  </si>
  <si>
    <t>安福　修子</t>
  </si>
  <si>
    <t>西村　由香</t>
  </si>
  <si>
    <t>織田　紀子</t>
  </si>
  <si>
    <t>シニアホーム</t>
  </si>
  <si>
    <t>奥平　真奈美</t>
  </si>
  <si>
    <t>井上　英里奈</t>
    <rPh sb="0" eb="2">
      <t>イノウエ</t>
    </rPh>
    <rPh sb="3" eb="6">
      <t>エリナ</t>
    </rPh>
    <phoneticPr fontId="4"/>
  </si>
  <si>
    <t>東　さやか</t>
    <rPh sb="0" eb="1">
      <t>ヒガシ</t>
    </rPh>
    <phoneticPr fontId="4"/>
  </si>
  <si>
    <t>今田　恵美</t>
    <rPh sb="0" eb="2">
      <t>イマダ</t>
    </rPh>
    <rPh sb="3" eb="5">
      <t>メグミ</t>
    </rPh>
    <phoneticPr fontId="4"/>
  </si>
  <si>
    <t>淺田　拓也</t>
    <rPh sb="0" eb="2">
      <t>アサダ</t>
    </rPh>
    <rPh sb="3" eb="5">
      <t>タクヤ</t>
    </rPh>
    <phoneticPr fontId="4"/>
  </si>
  <si>
    <t>松田　優香</t>
    <rPh sb="0" eb="2">
      <t>マツダ</t>
    </rPh>
    <rPh sb="3" eb="5">
      <t>ユウカ</t>
    </rPh>
    <phoneticPr fontId="4"/>
  </si>
  <si>
    <t>植村　美加</t>
  </si>
  <si>
    <t>德留　直美</t>
  </si>
  <si>
    <t>岡田　誠</t>
  </si>
  <si>
    <t>小松　雅子</t>
    <rPh sb="0" eb="2">
      <t>コマツ</t>
    </rPh>
    <phoneticPr fontId="4"/>
  </si>
  <si>
    <t>多田　優子</t>
    <rPh sb="0" eb="2">
      <t>タダ</t>
    </rPh>
    <rPh sb="3" eb="5">
      <t>ユウコ</t>
    </rPh>
    <phoneticPr fontId="4"/>
  </si>
  <si>
    <t>西畑　聖良</t>
    <rPh sb="0" eb="2">
      <t>ニシハタ</t>
    </rPh>
    <rPh sb="3" eb="5">
      <t>セラ</t>
    </rPh>
    <phoneticPr fontId="4"/>
  </si>
  <si>
    <t>西脇　歩美</t>
    <rPh sb="0" eb="2">
      <t>ニシワキ</t>
    </rPh>
    <rPh sb="3" eb="5">
      <t>アユミ</t>
    </rPh>
    <phoneticPr fontId="4"/>
  </si>
  <si>
    <t>ｸﾞｴﾝ　ﾃｨ　ﾄｩ　ﾋｴﾝ</t>
  </si>
  <si>
    <t>ﾄﾞｱﾝ　ﾃｨ　ﾁｬﾝ</t>
  </si>
  <si>
    <t>石橋　久美子</t>
    <rPh sb="0" eb="2">
      <t>イシバシ</t>
    </rPh>
    <rPh sb="3" eb="6">
      <t>クミコ</t>
    </rPh>
    <phoneticPr fontId="4"/>
  </si>
  <si>
    <t>浦　令子</t>
    <rPh sb="0" eb="1">
      <t>ウラ</t>
    </rPh>
    <rPh sb="2" eb="4">
      <t>レイコ</t>
    </rPh>
    <phoneticPr fontId="4"/>
  </si>
  <si>
    <t>小橋　美奈</t>
    <rPh sb="0" eb="2">
      <t>コハシ</t>
    </rPh>
    <rPh sb="3" eb="5">
      <t>ミナ</t>
    </rPh>
    <phoneticPr fontId="4"/>
  </si>
  <si>
    <t>三原　眞弓</t>
    <rPh sb="0" eb="2">
      <t>ミハラ</t>
    </rPh>
    <rPh sb="3" eb="4">
      <t>マ</t>
    </rPh>
    <rPh sb="4" eb="5">
      <t>ユミ</t>
    </rPh>
    <phoneticPr fontId="4"/>
  </si>
  <si>
    <t>青木　三恵</t>
    <rPh sb="0" eb="2">
      <t>アオキ</t>
    </rPh>
    <rPh sb="3" eb="5">
      <t>ミエ</t>
    </rPh>
    <phoneticPr fontId="4"/>
  </si>
  <si>
    <t>有田　晃也</t>
  </si>
  <si>
    <t>原田　眞紀</t>
    <rPh sb="0" eb="2">
      <t>ハラダ</t>
    </rPh>
    <rPh sb="3" eb="4">
      <t>マ</t>
    </rPh>
    <rPh sb="4" eb="5">
      <t>キ</t>
    </rPh>
    <phoneticPr fontId="4"/>
  </si>
  <si>
    <t>レ　ﾃｨ　ミン</t>
  </si>
  <si>
    <t>羽生　進一</t>
    <rPh sb="0" eb="2">
      <t>ハニュウ</t>
    </rPh>
    <rPh sb="3" eb="5">
      <t>シンイチ</t>
    </rPh>
    <phoneticPr fontId="4"/>
  </si>
  <si>
    <t>時澤　遼翔</t>
    <rPh sb="0" eb="2">
      <t>トキザワ</t>
    </rPh>
    <rPh sb="3" eb="4">
      <t>リョウ</t>
    </rPh>
    <rPh sb="4" eb="5">
      <t>ショウ</t>
    </rPh>
    <phoneticPr fontId="4"/>
  </si>
  <si>
    <t>齊土　とし枝</t>
  </si>
  <si>
    <t>中村　春美</t>
  </si>
  <si>
    <t>網代　美穂</t>
  </si>
  <si>
    <t>長井　委子</t>
  </si>
  <si>
    <t>石川　賀津子</t>
    <rPh sb="0" eb="2">
      <t>イシカワ</t>
    </rPh>
    <rPh sb="3" eb="4">
      <t>ガ</t>
    </rPh>
    <rPh sb="4" eb="5">
      <t>ツ</t>
    </rPh>
    <rPh sb="5" eb="6">
      <t>コ</t>
    </rPh>
    <phoneticPr fontId="4"/>
  </si>
  <si>
    <t>亀井　直美</t>
    <rPh sb="0" eb="2">
      <t>カメイ</t>
    </rPh>
    <rPh sb="3" eb="5">
      <t>ナオミ</t>
    </rPh>
    <phoneticPr fontId="4"/>
  </si>
  <si>
    <t>村尾　悦子</t>
  </si>
  <si>
    <t>前谷　有美</t>
    <rPh sb="0" eb="2">
      <t>マエタニ</t>
    </rPh>
    <rPh sb="3" eb="5">
      <t>ユミ</t>
    </rPh>
    <phoneticPr fontId="4"/>
  </si>
  <si>
    <t>宮﨑　清美</t>
    <rPh sb="0" eb="2">
      <t>ミヤザキ</t>
    </rPh>
    <rPh sb="3" eb="5">
      <t>キヨミ</t>
    </rPh>
    <phoneticPr fontId="4"/>
  </si>
  <si>
    <t>木村　沙織</t>
    <rPh sb="0" eb="2">
      <t>キムラ</t>
    </rPh>
    <rPh sb="3" eb="5">
      <t>サオリ</t>
    </rPh>
    <phoneticPr fontId="4"/>
  </si>
  <si>
    <t>野口　優紀</t>
    <rPh sb="0" eb="2">
      <t>ノグチ</t>
    </rPh>
    <rPh sb="3" eb="5">
      <t>ユウキ</t>
    </rPh>
    <phoneticPr fontId="4"/>
  </si>
  <si>
    <t>高田　由美子</t>
    <rPh sb="0" eb="2">
      <t>タカタ</t>
    </rPh>
    <rPh sb="3" eb="6">
      <t>ユミコ</t>
    </rPh>
    <phoneticPr fontId="4"/>
  </si>
  <si>
    <t>平山　眞由美</t>
  </si>
  <si>
    <t>溝下　里千代</t>
    <rPh sb="0" eb="2">
      <t>ミゾシタ</t>
    </rPh>
    <rPh sb="3" eb="4">
      <t>リ</t>
    </rPh>
    <rPh sb="4" eb="6">
      <t>チヨ</t>
    </rPh>
    <phoneticPr fontId="4"/>
  </si>
  <si>
    <t>田中　美和子</t>
  </si>
  <si>
    <t>盛永　ｼｽﾞ子</t>
    <rPh sb="0" eb="2">
      <t>モリナガ</t>
    </rPh>
    <rPh sb="6" eb="7">
      <t>コ</t>
    </rPh>
    <phoneticPr fontId="4"/>
  </si>
  <si>
    <t>切らないで良い</t>
    <rPh sb="0" eb="1">
      <t>キ</t>
    </rPh>
    <rPh sb="5" eb="6">
      <t>ヨ</t>
    </rPh>
    <phoneticPr fontId="4"/>
  </si>
  <si>
    <t>砂田　美由紀</t>
    <rPh sb="0" eb="2">
      <t>スナダ</t>
    </rPh>
    <rPh sb="3" eb="6">
      <t>ミユキ</t>
    </rPh>
    <phoneticPr fontId="4"/>
  </si>
  <si>
    <t>山口　むつみ</t>
  </si>
  <si>
    <t>鈴　加代</t>
  </si>
  <si>
    <t>千賀　健一</t>
  </si>
  <si>
    <t>今井　勝美</t>
    <rPh sb="0" eb="2">
      <t>イマイ</t>
    </rPh>
    <rPh sb="3" eb="5">
      <t>カツミ</t>
    </rPh>
    <phoneticPr fontId="4"/>
  </si>
  <si>
    <t>ヴィー　ヴァン　ロアン</t>
  </si>
  <si>
    <t>山田　加代子</t>
    <rPh sb="0" eb="2">
      <t>ヤマダ</t>
    </rPh>
    <rPh sb="3" eb="6">
      <t>カヨコ</t>
    </rPh>
    <phoneticPr fontId="4"/>
  </si>
  <si>
    <t>五十嵐　真理子</t>
  </si>
  <si>
    <t>福住　雅子</t>
  </si>
  <si>
    <t>宮川　一恵</t>
  </si>
  <si>
    <t>所長</t>
    <rPh sb="0" eb="2">
      <t>ショチョウ</t>
    </rPh>
    <phoneticPr fontId="4"/>
  </si>
  <si>
    <t>土肥　亮平</t>
  </si>
  <si>
    <t>佐々木　明樹子</t>
  </si>
  <si>
    <t>竹成　幸子</t>
    <rPh sb="0" eb="2">
      <t>タケナリ</t>
    </rPh>
    <rPh sb="3" eb="5">
      <t>サチコ</t>
    </rPh>
    <phoneticPr fontId="4"/>
  </si>
  <si>
    <t>黒田　早紀</t>
    <rPh sb="0" eb="2">
      <t>クロダ</t>
    </rPh>
    <rPh sb="3" eb="5">
      <t>サキ</t>
    </rPh>
    <phoneticPr fontId="4"/>
  </si>
  <si>
    <t>中川　恵美</t>
    <rPh sb="0" eb="2">
      <t>ナカガワ</t>
    </rPh>
    <rPh sb="3" eb="5">
      <t>メグミ</t>
    </rPh>
    <phoneticPr fontId="4"/>
  </si>
  <si>
    <t>看護介護統括部長</t>
  </si>
  <si>
    <t>堀内　しおり</t>
    <rPh sb="0" eb="2">
      <t>ホリウチ</t>
    </rPh>
    <phoneticPr fontId="4"/>
  </si>
  <si>
    <t>吉尾　妙子</t>
  </si>
  <si>
    <t>在宅</t>
  </si>
  <si>
    <t>篠原　真生</t>
  </si>
  <si>
    <t>繁山　敦子</t>
    <rPh sb="0" eb="2">
      <t>シゲヤマ</t>
    </rPh>
    <rPh sb="3" eb="5">
      <t>アツコ</t>
    </rPh>
    <phoneticPr fontId="4"/>
  </si>
  <si>
    <t>山田　桃子</t>
    <rPh sb="0" eb="2">
      <t>ヤマダ</t>
    </rPh>
    <rPh sb="3" eb="5">
      <t>モモコ</t>
    </rPh>
    <phoneticPr fontId="4"/>
  </si>
  <si>
    <t>土居　由紀子</t>
    <rPh sb="0" eb="2">
      <t>ドイ</t>
    </rPh>
    <rPh sb="3" eb="6">
      <t>ユキコ</t>
    </rPh>
    <phoneticPr fontId="4"/>
  </si>
  <si>
    <t>永田　明日香</t>
    <rPh sb="0" eb="2">
      <t>ナガタ</t>
    </rPh>
    <rPh sb="3" eb="6">
      <t>アスカ</t>
    </rPh>
    <phoneticPr fontId="4"/>
  </si>
  <si>
    <t>古達　彩子</t>
  </si>
  <si>
    <t>事務</t>
    <rPh sb="0" eb="2">
      <t>ジム</t>
    </rPh>
    <phoneticPr fontId="4"/>
  </si>
  <si>
    <t>森山　響子</t>
  </si>
  <si>
    <t>谷後　亜希子</t>
    <rPh sb="0" eb="2">
      <t>タニゴ</t>
    </rPh>
    <rPh sb="3" eb="6">
      <t>アキコ</t>
    </rPh>
    <phoneticPr fontId="4"/>
  </si>
  <si>
    <t>緒方　綾子</t>
    <rPh sb="0" eb="2">
      <t>オガタ</t>
    </rPh>
    <rPh sb="3" eb="5">
      <t>アヤコ</t>
    </rPh>
    <phoneticPr fontId="4"/>
  </si>
  <si>
    <t>手島　伽奈子</t>
    <rPh sb="0" eb="2">
      <t>テシマ</t>
    </rPh>
    <rPh sb="3" eb="4">
      <t>カ</t>
    </rPh>
    <rPh sb="4" eb="6">
      <t>ナコ</t>
    </rPh>
    <phoneticPr fontId="4"/>
  </si>
  <si>
    <t>笠井　佐奈美</t>
  </si>
  <si>
    <t>大西　沙世</t>
  </si>
  <si>
    <t>木村　若菜</t>
    <rPh sb="0" eb="2">
      <t>キムラ</t>
    </rPh>
    <rPh sb="3" eb="5">
      <t>ワカナ</t>
    </rPh>
    <phoneticPr fontId="4"/>
  </si>
  <si>
    <t>職種</t>
    <rPh sb="0" eb="2">
      <t>ショクシュ</t>
    </rPh>
    <phoneticPr fontId="6"/>
  </si>
  <si>
    <t>貸与枚数</t>
    <rPh sb="0" eb="4">
      <t>タイヨマイスウ</t>
    </rPh>
    <phoneticPr fontId="6"/>
  </si>
  <si>
    <t>ヘルパーステーション
男女</t>
    <rPh sb="11" eb="13">
      <t>ダンジョ</t>
    </rPh>
    <phoneticPr fontId="6"/>
  </si>
  <si>
    <t>ヘルパーステーション
（サ責）男女</t>
    <rPh sb="13" eb="14">
      <t>セキ</t>
    </rPh>
    <rPh sb="15" eb="17">
      <t>ダンジョ</t>
    </rPh>
    <phoneticPr fontId="6"/>
  </si>
  <si>
    <t>訪問看護ステーション
（ラポール）女性</t>
    <rPh sb="0" eb="4">
      <t>ホウモンカンゴ</t>
    </rPh>
    <rPh sb="17" eb="19">
      <t>ジョセイ</t>
    </rPh>
    <phoneticPr fontId="6"/>
  </si>
  <si>
    <t>訪問看護ステーション
（ラポール）男性</t>
    <rPh sb="0" eb="4">
      <t>ホウモンカンゴ</t>
    </rPh>
    <rPh sb="17" eb="19">
      <t>ダンセイ</t>
    </rPh>
    <phoneticPr fontId="6"/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</si>
  <si>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6"/>
  </si>
  <si>
    <t>事務部
女性</t>
    <rPh sb="0" eb="2">
      <t>ジム</t>
    </rPh>
    <rPh sb="2" eb="3">
      <t>ブ</t>
    </rPh>
    <rPh sb="4" eb="6">
      <t>ジョセイ</t>
    </rPh>
    <phoneticPr fontId="6"/>
  </si>
  <si>
    <t>契約名</t>
    <rPh sb="0" eb="2">
      <t>ケイヤク</t>
    </rPh>
    <rPh sb="2" eb="3">
      <t>メイ</t>
    </rPh>
    <phoneticPr fontId="4"/>
  </si>
  <si>
    <t>単価</t>
    <rPh sb="0" eb="2">
      <t>タンカ</t>
    </rPh>
    <phoneticPr fontId="6"/>
  </si>
  <si>
    <t>金額</t>
    <rPh sb="0" eb="2">
      <t>キンガク</t>
    </rPh>
    <phoneticPr fontId="6"/>
  </si>
  <si>
    <t>砂川　幾子</t>
    <rPh sb="0" eb="2">
      <t>スナガワ</t>
    </rPh>
    <rPh sb="3" eb="5">
      <t>イクコ</t>
    </rPh>
    <phoneticPr fontId="2"/>
  </si>
  <si>
    <t>追加</t>
    <rPh sb="0" eb="2">
      <t>ツイカ</t>
    </rPh>
    <phoneticPr fontId="4"/>
  </si>
  <si>
    <t>日付</t>
    <rPh sb="0" eb="2">
      <t>ヒヅケ</t>
    </rPh>
    <phoneticPr fontId="4"/>
  </si>
  <si>
    <t>平賀　千瑞子</t>
    <rPh sb="0" eb="2">
      <t>ヒラガ</t>
    </rPh>
    <rPh sb="3" eb="4">
      <t>セン</t>
    </rPh>
    <rPh sb="4" eb="5">
      <t>ズイ</t>
    </rPh>
    <rPh sb="5" eb="6">
      <t>コ</t>
    </rPh>
    <phoneticPr fontId="2"/>
  </si>
  <si>
    <t>　</t>
    <phoneticPr fontId="4"/>
  </si>
  <si>
    <t>退職</t>
    <rPh sb="0" eb="2">
      <t>タイショク</t>
    </rPh>
    <phoneticPr fontId="4"/>
  </si>
  <si>
    <t>ケアホーム</t>
    <phoneticPr fontId="4"/>
  </si>
  <si>
    <t>異動</t>
    <rPh sb="0" eb="2">
      <t>イドウ</t>
    </rPh>
    <phoneticPr fontId="4"/>
  </si>
  <si>
    <t>中谷　彩</t>
    <rPh sb="0" eb="2">
      <t>ナカタニ</t>
    </rPh>
    <rPh sb="3" eb="4">
      <t>アヤ</t>
    </rPh>
    <phoneticPr fontId="2"/>
  </si>
  <si>
    <t>杉山　衣久美</t>
    <rPh sb="0" eb="2">
      <t>スギヤマ</t>
    </rPh>
    <rPh sb="3" eb="6">
      <t>イクミ</t>
    </rPh>
    <phoneticPr fontId="2"/>
  </si>
  <si>
    <t>LL</t>
    <phoneticPr fontId="4"/>
  </si>
  <si>
    <t>L</t>
    <phoneticPr fontId="4"/>
  </si>
  <si>
    <t>EL</t>
    <phoneticPr fontId="4"/>
  </si>
  <si>
    <t>R0201</t>
  </si>
  <si>
    <t>ﾌﾞﾗｯｸ×ﾊﾞｰｶﾞﾝﾃﾞｨ</t>
  </si>
  <si>
    <t>ﾌﾞﾗｯｸ×ｶﾞｰﾈｯﾄ</t>
  </si>
  <si>
    <t>M</t>
    <phoneticPr fontId="4"/>
  </si>
  <si>
    <t>R0202</t>
  </si>
  <si>
    <t>R0211</t>
  </si>
  <si>
    <t>R0212</t>
  </si>
  <si>
    <t>R0213</t>
  </si>
  <si>
    <t>R0221</t>
  </si>
  <si>
    <t>R0222</t>
  </si>
  <si>
    <t>R0223</t>
  </si>
  <si>
    <t>R0224</t>
  </si>
  <si>
    <t>R0231</t>
  </si>
  <si>
    <t>R0232</t>
  </si>
  <si>
    <t>R0233</t>
  </si>
  <si>
    <t>R0241</t>
  </si>
  <si>
    <t>R0242</t>
  </si>
  <si>
    <t>R0243</t>
  </si>
  <si>
    <t>R0251</t>
  </si>
  <si>
    <t>R0252</t>
  </si>
  <si>
    <t>R0251</t>
    <phoneticPr fontId="4"/>
  </si>
  <si>
    <t>R0252</t>
    <phoneticPr fontId="4"/>
  </si>
  <si>
    <t>R0203</t>
  </si>
  <si>
    <t>R0204</t>
  </si>
  <si>
    <t>R0214</t>
  </si>
  <si>
    <t>在宅</t>
    <rPh sb="0" eb="2">
      <t>ザイタク</t>
    </rPh>
    <phoneticPr fontId="4"/>
  </si>
  <si>
    <t>シニアホーム</t>
    <phoneticPr fontId="4"/>
  </si>
  <si>
    <t>合計人数</t>
    <rPh sb="0" eb="2">
      <t>ゴウケイ</t>
    </rPh>
    <rPh sb="2" eb="4">
      <t>ニンズウ</t>
    </rPh>
    <phoneticPr fontId="4"/>
  </si>
  <si>
    <t>生活・その他</t>
    <rPh sb="0" eb="2">
      <t>セイカツ</t>
    </rPh>
    <rPh sb="5" eb="6">
      <t>タ</t>
    </rPh>
    <phoneticPr fontId="4"/>
  </si>
  <si>
    <t>ﾍﾙﾊﾟｰｽﾃｰｼｮﾝサービス提供責任者</t>
    <phoneticPr fontId="4"/>
  </si>
  <si>
    <t>在宅</t>
    <phoneticPr fontId="4"/>
  </si>
  <si>
    <t>変更</t>
    <rPh sb="0" eb="2">
      <t>ヘンコウ</t>
    </rPh>
    <phoneticPr fontId="4"/>
  </si>
  <si>
    <t>数量変更</t>
    <rPh sb="0" eb="2">
      <t>スウリョウ</t>
    </rPh>
    <rPh sb="2" eb="4">
      <t>ヘンコウ</t>
    </rPh>
    <phoneticPr fontId="4"/>
  </si>
  <si>
    <t>EL</t>
    <phoneticPr fontId="4"/>
  </si>
  <si>
    <t>入職</t>
    <rPh sb="0" eb="2">
      <t>ニュウショク</t>
    </rPh>
    <phoneticPr fontId="4"/>
  </si>
  <si>
    <t>春名　大生</t>
    <rPh sb="0" eb="2">
      <t>ハルナ</t>
    </rPh>
    <rPh sb="3" eb="4">
      <t>オオ</t>
    </rPh>
    <rPh sb="4" eb="5">
      <t>ナマ</t>
    </rPh>
    <phoneticPr fontId="4"/>
  </si>
  <si>
    <t>R0221</t>
    <phoneticPr fontId="4"/>
  </si>
  <si>
    <t>7056SC-9</t>
  </si>
  <si>
    <t>月分</t>
    <rPh sb="0" eb="2">
      <t>ガツブン</t>
    </rPh>
    <phoneticPr fontId="6"/>
  </si>
  <si>
    <t>在宅ほくと　ユニフォーム請求対象人数</t>
    <rPh sb="0" eb="2">
      <t>ザイタク</t>
    </rPh>
    <rPh sb="12" eb="14">
      <t>セイキュウ</t>
    </rPh>
    <rPh sb="14" eb="16">
      <t>タイショウ</t>
    </rPh>
    <rPh sb="16" eb="18">
      <t>ニンズウ</t>
    </rPh>
    <phoneticPr fontId="6"/>
  </si>
  <si>
    <t>R0201</t>
    <phoneticPr fontId="4"/>
  </si>
  <si>
    <t>UZL3073-2</t>
    <phoneticPr fontId="4"/>
  </si>
  <si>
    <t>LL</t>
    <phoneticPr fontId="4"/>
  </si>
  <si>
    <t>UZL2013-5</t>
    <phoneticPr fontId="4"/>
  </si>
  <si>
    <t>L</t>
    <phoneticPr fontId="4"/>
  </si>
  <si>
    <t>産休</t>
    <rPh sb="0" eb="2">
      <t>サンキュウ</t>
    </rPh>
    <phoneticPr fontId="4"/>
  </si>
  <si>
    <t>移動</t>
    <rPh sb="0" eb="2">
      <t>イドウ</t>
    </rPh>
    <phoneticPr fontId="4"/>
  </si>
  <si>
    <t>R0224</t>
    <phoneticPr fontId="4"/>
  </si>
  <si>
    <t>復職</t>
    <rPh sb="0" eb="2">
      <t>フクショク</t>
    </rPh>
    <phoneticPr fontId="4"/>
  </si>
  <si>
    <t>非常勤→常勤　2枚→5枚</t>
    <rPh sb="0" eb="3">
      <t>ヒジョウキン</t>
    </rPh>
    <rPh sb="4" eb="6">
      <t>ジョウキン</t>
    </rPh>
    <rPh sb="8" eb="9">
      <t>マイ</t>
    </rPh>
    <rPh sb="11" eb="12">
      <t>マイ</t>
    </rPh>
    <phoneticPr fontId="4"/>
  </si>
  <si>
    <t>R0202</t>
    <phoneticPr fontId="4"/>
  </si>
  <si>
    <t>中野　優子</t>
    <rPh sb="0" eb="2">
      <t>ナカノ</t>
    </rPh>
    <rPh sb="3" eb="5">
      <t>ユウコ</t>
    </rPh>
    <phoneticPr fontId="4"/>
  </si>
  <si>
    <t>UZL3073-2</t>
    <phoneticPr fontId="4"/>
  </si>
  <si>
    <t>L</t>
    <phoneticPr fontId="4"/>
  </si>
  <si>
    <t>入職</t>
    <rPh sb="0" eb="2">
      <t>ニュウショク</t>
    </rPh>
    <phoneticPr fontId="4"/>
  </si>
  <si>
    <t>休職</t>
    <rPh sb="0" eb="2">
      <t>キュウショク</t>
    </rPh>
    <phoneticPr fontId="4"/>
  </si>
  <si>
    <t>非常勤→常勤</t>
    <rPh sb="0" eb="3">
      <t>ヒジョウキン</t>
    </rPh>
    <rPh sb="4" eb="6">
      <t>ジョウキン</t>
    </rPh>
    <phoneticPr fontId="4"/>
  </si>
  <si>
    <t>異動</t>
    <rPh sb="0" eb="2">
      <t>イドウ</t>
    </rPh>
    <phoneticPr fontId="4"/>
  </si>
  <si>
    <t>R0221</t>
    <phoneticPr fontId="4"/>
  </si>
  <si>
    <t>小島　博美</t>
    <rPh sb="0" eb="2">
      <t>コジマ</t>
    </rPh>
    <rPh sb="3" eb="5">
      <t>ヒロミ</t>
    </rPh>
    <phoneticPr fontId="4"/>
  </si>
  <si>
    <t>RF5192</t>
    <phoneticPr fontId="4"/>
  </si>
  <si>
    <t>LL</t>
    <phoneticPr fontId="4"/>
  </si>
  <si>
    <t>UZL2041-5</t>
    <phoneticPr fontId="4"/>
  </si>
  <si>
    <t>L</t>
    <phoneticPr fontId="4"/>
  </si>
  <si>
    <t>変更</t>
    <rPh sb="0" eb="2">
      <t>ヘンコウ</t>
    </rPh>
    <phoneticPr fontId="4"/>
  </si>
  <si>
    <t>R0244</t>
    <phoneticPr fontId="4"/>
  </si>
  <si>
    <t>R0221</t>
    <phoneticPr fontId="4"/>
  </si>
  <si>
    <t>R0242</t>
    <phoneticPr fontId="4"/>
  </si>
  <si>
    <t>2026年</t>
    <rPh sb="4" eb="5">
      <t>ネン</t>
    </rPh>
    <phoneticPr fontId="6"/>
  </si>
  <si>
    <t>余村　真理子</t>
    <rPh sb="0" eb="2">
      <t>ヨムラ</t>
    </rPh>
    <rPh sb="3" eb="6">
      <t>マリコ</t>
    </rPh>
    <phoneticPr fontId="4"/>
  </si>
  <si>
    <t>7056SC-9</t>
    <phoneticPr fontId="4"/>
  </si>
  <si>
    <t>7069SC-9</t>
    <phoneticPr fontId="4"/>
  </si>
  <si>
    <t>LL</t>
    <phoneticPr fontId="4"/>
  </si>
  <si>
    <t>6021SC-9</t>
    <phoneticPr fontId="4"/>
  </si>
  <si>
    <t>異動</t>
    <rPh sb="0" eb="2">
      <t>イドウ</t>
    </rPh>
    <phoneticPr fontId="4"/>
  </si>
  <si>
    <t>登録ヘルパー</t>
    <rPh sb="0" eb="2">
      <t>トウロク</t>
    </rPh>
    <phoneticPr fontId="4"/>
  </si>
  <si>
    <t>R0222</t>
    <phoneticPr fontId="4"/>
  </si>
  <si>
    <t>常勤→ﾊﾟｰﾄ　5枚→4枚</t>
    <rPh sb="0" eb="2">
      <t>ジョウキン</t>
    </rPh>
    <rPh sb="9" eb="10">
      <t>マイ</t>
    </rPh>
    <rPh sb="12" eb="13">
      <t>マイ</t>
    </rPh>
    <phoneticPr fontId="4"/>
  </si>
  <si>
    <r>
      <t>※</t>
    </r>
    <r>
      <rPr>
        <b/>
        <sz val="14"/>
        <color theme="1"/>
        <rFont val="游ゴシック"/>
        <family val="3"/>
        <charset val="128"/>
        <scheme val="minor"/>
      </rPr>
      <t>R0222永田明日香様分5ヵ月分過剰請求の為2月分で調整しております。</t>
    </r>
    <rPh sb="6" eb="8">
      <t>ナガタ</t>
    </rPh>
    <rPh sb="8" eb="11">
      <t>アスカ</t>
    </rPh>
    <rPh sb="11" eb="12">
      <t>サマ</t>
    </rPh>
    <rPh sb="12" eb="13">
      <t>ブン</t>
    </rPh>
    <rPh sb="15" eb="16">
      <t>ゲツ</t>
    </rPh>
    <rPh sb="16" eb="17">
      <t>ブン</t>
    </rPh>
    <rPh sb="17" eb="19">
      <t>カジョウ</t>
    </rPh>
    <rPh sb="19" eb="21">
      <t>セイキュウ</t>
    </rPh>
    <rPh sb="22" eb="23">
      <t>タメ</t>
    </rPh>
    <rPh sb="24" eb="25">
      <t>ガツ</t>
    </rPh>
    <rPh sb="25" eb="26">
      <t>ブン</t>
    </rPh>
    <rPh sb="27" eb="29">
      <t>チョウセイ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</si>
</sst>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7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3" borderId="1" xfId="1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3" xfId="4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7" xfId="2" applyFont="1" applyBorder="1">
      <alignment vertical="center"/>
    </xf>
    <xf numFmtId="0" fontId="8" fillId="0" borderId="9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 applyAlignment="1">
      <alignment horizontal="center" vertical="center"/>
    </xf>
    <xf numFmtId="38" fontId="8" fillId="0" borderId="12" xfId="4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38" fontId="8" fillId="0" borderId="16" xfId="4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38" fontId="8" fillId="0" borderId="19" xfId="4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8" fillId="0" borderId="26" xfId="2" applyFont="1" applyBorder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40" fontId="10" fillId="0" borderId="14" xfId="3" applyNumberFormat="1" applyFont="1" applyBorder="1" applyAlignment="1">
      <alignment horizontal="center" vertical="center"/>
    </xf>
    <xf numFmtId="38" fontId="10" fillId="0" borderId="15" xfId="2" applyNumberFormat="1" applyFont="1" applyBorder="1" applyAlignment="1">
      <alignment vertical="center" wrapText="1"/>
    </xf>
    <xf numFmtId="38" fontId="10" fillId="0" borderId="20" xfId="2" applyNumberFormat="1" applyFont="1" applyBorder="1" applyAlignment="1">
      <alignment vertical="center" wrapText="1"/>
    </xf>
    <xf numFmtId="38" fontId="10" fillId="0" borderId="29" xfId="2" applyNumberFormat="1" applyFont="1" applyBorder="1" applyAlignment="1">
      <alignment vertical="center" wrapText="1"/>
    </xf>
    <xf numFmtId="0" fontId="10" fillId="0" borderId="16" xfId="4" applyFont="1" applyBorder="1" applyAlignment="1">
      <alignment horizontal="center" vertical="center"/>
    </xf>
    <xf numFmtId="56" fontId="0" fillId="3" borderId="0" xfId="0" applyNumberFormat="1" applyFill="1"/>
    <xf numFmtId="0" fontId="11" fillId="0" borderId="8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/>
    </xf>
    <xf numFmtId="0" fontId="13" fillId="0" borderId="25" xfId="4" applyFont="1" applyBorder="1" applyAlignment="1">
      <alignment horizontal="center" vertical="center"/>
    </xf>
    <xf numFmtId="38" fontId="13" fillId="0" borderId="24" xfId="4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40" fontId="12" fillId="0" borderId="6" xfId="3" applyNumberFormat="1" applyFont="1" applyBorder="1" applyAlignment="1">
      <alignment horizontal="center" vertical="center"/>
    </xf>
    <xf numFmtId="38" fontId="12" fillId="0" borderId="8" xfId="2" applyNumberFormat="1" applyFont="1" applyBorder="1" applyAlignment="1">
      <alignment vertical="center" wrapText="1"/>
    </xf>
    <xf numFmtId="38" fontId="12" fillId="0" borderId="10" xfId="2" applyNumberFormat="1" applyFont="1" applyBorder="1" applyAlignment="1">
      <alignment vertical="center" wrapText="1"/>
    </xf>
    <xf numFmtId="38" fontId="12" fillId="0" borderId="28" xfId="2" applyNumberFormat="1" applyFont="1" applyBorder="1" applyAlignment="1">
      <alignment vertical="center" wrapText="1"/>
    </xf>
    <xf numFmtId="38" fontId="12" fillId="0" borderId="13" xfId="4" applyNumberFormat="1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56" fontId="0" fillId="0" borderId="0" xfId="0" applyNumberFormat="1"/>
    <xf numFmtId="0" fontId="0" fillId="4" borderId="1" xfId="0" applyFill="1" applyBorder="1" applyAlignment="1">
      <alignment horizontal="center" vertical="center" shrinkToFit="1"/>
    </xf>
    <xf numFmtId="0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0" fillId="6" borderId="1" xfId="0" applyFill="1" applyBorder="1"/>
    <xf numFmtId="56" fontId="0" fillId="0" borderId="0" xfId="0" applyNumberFormat="1" applyAlignment="1">
      <alignment shrinkToFit="1"/>
    </xf>
    <xf numFmtId="0" fontId="0" fillId="7" borderId="1" xfId="0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 shrinkToFit="1"/>
    </xf>
    <xf numFmtId="0" fontId="0" fillId="7" borderId="1" xfId="0" applyFill="1" applyBorder="1" applyAlignment="1">
      <alignment horizontal="center" vertical="center" shrinkToFit="1"/>
    </xf>
    <xf numFmtId="0" fontId="0" fillId="4" borderId="1" xfId="0" applyFill="1" applyBorder="1"/>
    <xf numFmtId="0" fontId="0" fillId="3" borderId="0" xfId="0" applyFill="1"/>
    <xf numFmtId="0" fontId="0" fillId="6" borderId="1" xfId="0" applyFill="1" applyBorder="1" applyAlignment="1">
      <alignment horizontal="center" shrinkToFit="1"/>
    </xf>
    <xf numFmtId="0" fontId="13" fillId="3" borderId="23" xfId="4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">
    <cellStyle name="桁区切り 2" xfId="3" xr:uid="{21996B6E-C2A0-4E81-A4D5-064F6B8395BF}"/>
    <cellStyle name="標準" xfId="0" builtinId="0"/>
    <cellStyle name="標準 2" xfId="2" xr:uid="{B11898FC-6221-4283-8D5A-EB66C0259C9D}"/>
    <cellStyle name="標準 2 2" xfId="4" xr:uid="{3FB4E3CD-88C5-4B1A-A06D-B514DDDD177A}"/>
    <cellStyle name="標準_Sheet2" xfId="1" xr:uid="{253403ED-6F5E-420A-B877-024C424A8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FE9-8772-47A8-AD3F-50804F8FC0C3}">
  <sheetPr>
    <pageSetUpPr fitToPage="1"/>
  </sheetPr>
  <dimension ref="A1:K28"/>
  <sheetViews>
    <sheetView tabSelected="1" view="pageBreakPreview" topLeftCell="A17" zoomScale="70" zoomScaleNormal="70" zoomScaleSheetLayoutView="70" workbookViewId="0">
      <selection activeCell="B28" sqref="B28:G28"/>
    </sheetView>
  </sheetViews>
  <sheetFormatPr defaultRowHeight="33"/>
  <cols>
    <col min="1" max="1" width="9.625" style="14" bestFit="1" customWidth="1"/>
    <col min="2" max="2" width="28.5" style="14" bestFit="1" customWidth="1"/>
    <col min="3" max="3" width="12" style="15" bestFit="1" customWidth="1"/>
    <col min="4" max="7" width="14.25" style="15" customWidth="1"/>
    <col min="8" max="8" width="15.375" style="29" bestFit="1" customWidth="1"/>
    <col min="9" max="9" width="9.875" style="29" bestFit="1" customWidth="1"/>
    <col min="10" max="10" width="16.875" style="58" customWidth="1"/>
    <col min="11" max="11" width="4" style="14" bestFit="1" customWidth="1"/>
    <col min="12" max="16384" width="9" style="14"/>
  </cols>
  <sheetData>
    <row r="1" spans="1:11">
      <c r="A1" s="94" t="s">
        <v>234</v>
      </c>
      <c r="B1" s="94"/>
      <c r="C1" s="94"/>
      <c r="D1" s="94"/>
      <c r="E1" s="94"/>
    </row>
    <row r="2" spans="1:11">
      <c r="A2" s="66"/>
      <c r="B2" s="66"/>
      <c r="C2" s="66"/>
      <c r="D2" s="66"/>
      <c r="E2" s="66"/>
    </row>
    <row r="3" spans="1:11" ht="33.75" thickBot="1">
      <c r="A3" s="65"/>
      <c r="B3" s="67" t="s">
        <v>263</v>
      </c>
      <c r="C3" s="65">
        <v>2</v>
      </c>
      <c r="D3" s="68" t="s">
        <v>233</v>
      </c>
    </row>
    <row r="4" spans="1:11" ht="33.75" thickBot="1">
      <c r="A4" s="28" t="s">
        <v>179</v>
      </c>
      <c r="B4" s="22" t="s">
        <v>171</v>
      </c>
      <c r="C4" s="34" t="s">
        <v>172</v>
      </c>
      <c r="D4" s="31" t="s">
        <v>220</v>
      </c>
      <c r="E4" s="22" t="s">
        <v>188</v>
      </c>
      <c r="F4" s="22" t="s">
        <v>11</v>
      </c>
      <c r="G4" s="36" t="s">
        <v>221</v>
      </c>
      <c r="H4" s="39" t="s">
        <v>222</v>
      </c>
      <c r="I4" s="45" t="s">
        <v>180</v>
      </c>
      <c r="J4" s="59" t="s">
        <v>181</v>
      </c>
    </row>
    <row r="5" spans="1:11" ht="48.75" thickTop="1">
      <c r="A5" s="23" t="s">
        <v>195</v>
      </c>
      <c r="B5" s="20" t="s">
        <v>173</v>
      </c>
      <c r="C5" s="51">
        <v>5</v>
      </c>
      <c r="D5" s="32">
        <f>COUNTIFS(請求詳細!$E:$E,D$4,請求詳細!$F:$F,$A5)</f>
        <v>0</v>
      </c>
      <c r="E5" s="21">
        <f>COUNTIFS(請求詳細!$E:$E,E$4,請求詳細!$F:$F,$A5)</f>
        <v>6</v>
      </c>
      <c r="F5" s="21">
        <f>COUNTIFS(請求詳細!$E:$E,F$4,請求詳細!$F:$F,$A5)</f>
        <v>9</v>
      </c>
      <c r="G5" s="37">
        <f>COUNTIFS(請求詳細!$E:$E,G$4,請求詳細!$F:$F,$A5)</f>
        <v>17</v>
      </c>
      <c r="H5" s="54">
        <f>COUNTIF(請求詳細!$F:$F,$A5)</f>
        <v>32</v>
      </c>
      <c r="I5" s="46">
        <v>2330</v>
      </c>
      <c r="J5" s="60">
        <f>H5*I5</f>
        <v>74560</v>
      </c>
      <c r="K5" s="14">
        <f t="shared" ref="K5:K24" si="0">SUM(D5:G5)-H5</f>
        <v>0</v>
      </c>
    </row>
    <row r="6" spans="1:11" ht="48">
      <c r="A6" s="24" t="s">
        <v>199</v>
      </c>
      <c r="B6" s="19" t="s">
        <v>173</v>
      </c>
      <c r="C6" s="52">
        <v>4</v>
      </c>
      <c r="D6" s="32">
        <f>COUNTIFS(請求詳細!$E:$E,D$4,請求詳細!$F:$F,$A6)</f>
        <v>0</v>
      </c>
      <c r="E6" s="21">
        <f>COUNTIFS(請求詳細!$E:$E,E$4,請求詳細!$F:$F,$A6)</f>
        <v>1</v>
      </c>
      <c r="F6" s="21">
        <f>COUNTIFS(請求詳細!$E:$E,F$4,請求詳細!$F:$F,$A6)</f>
        <v>1</v>
      </c>
      <c r="G6" s="37">
        <f>COUNTIFS(請求詳細!$E:$E,G$4,請求詳細!$F:$F,$A6)</f>
        <v>1</v>
      </c>
      <c r="H6" s="55">
        <f>COUNTIF(請求詳細!$F:$F,$A6)</f>
        <v>3</v>
      </c>
      <c r="I6" s="47">
        <v>2110</v>
      </c>
      <c r="J6" s="61">
        <f t="shared" ref="J6:J25" si="1">H6*I6</f>
        <v>6330</v>
      </c>
      <c r="K6" s="14">
        <f t="shared" si="0"/>
        <v>0</v>
      </c>
    </row>
    <row r="7" spans="1:11" ht="48">
      <c r="A7" s="23" t="s">
        <v>217</v>
      </c>
      <c r="B7" s="19" t="s">
        <v>173</v>
      </c>
      <c r="C7" s="52">
        <v>3</v>
      </c>
      <c r="D7" s="32">
        <f>COUNTIFS(請求詳細!$E:$E,D$4,請求詳細!$F:$F,$A7)</f>
        <v>0</v>
      </c>
      <c r="E7" s="21">
        <f>COUNTIFS(請求詳細!$E:$E,E$4,請求詳細!$F:$F,$A7)</f>
        <v>0</v>
      </c>
      <c r="F7" s="21">
        <f>COUNTIFS(請求詳細!$E:$E,F$4,請求詳細!$F:$F,$A7)</f>
        <v>0</v>
      </c>
      <c r="G7" s="37">
        <f>COUNTIFS(請求詳細!$E:$E,G$4,請求詳細!$F:$F,$A7)</f>
        <v>0</v>
      </c>
      <c r="H7" s="55">
        <f>COUNTIF(請求詳細!$F:$F,$A7)</f>
        <v>0</v>
      </c>
      <c r="I7" s="47">
        <v>2200</v>
      </c>
      <c r="J7" s="61">
        <f t="shared" si="1"/>
        <v>0</v>
      </c>
      <c r="K7" s="14">
        <f t="shared" si="0"/>
        <v>0</v>
      </c>
    </row>
    <row r="8" spans="1:11" ht="48">
      <c r="A8" s="24" t="s">
        <v>218</v>
      </c>
      <c r="B8" s="19" t="s">
        <v>173</v>
      </c>
      <c r="C8" s="52">
        <v>2</v>
      </c>
      <c r="D8" s="32">
        <f>COUNTIFS(請求詳細!$E:$E,D$4,請求詳細!$F:$F,$A8)</f>
        <v>0</v>
      </c>
      <c r="E8" s="21">
        <f>COUNTIFS(請求詳細!$E:$E,E$4,請求詳細!$F:$F,$A8)</f>
        <v>0</v>
      </c>
      <c r="F8" s="21">
        <f>COUNTIFS(請求詳細!$E:$E,F$4,請求詳細!$F:$F,$A8)</f>
        <v>0</v>
      </c>
      <c r="G8" s="37">
        <f>COUNTIFS(請求詳細!$E:$E,G$4,請求詳細!$F:$F,$A8)</f>
        <v>0</v>
      </c>
      <c r="H8" s="55">
        <f>COUNTIF(請求詳細!$F:$F,$A8)</f>
        <v>0</v>
      </c>
      <c r="I8" s="47">
        <v>1670</v>
      </c>
      <c r="J8" s="61">
        <f t="shared" si="1"/>
        <v>0</v>
      </c>
      <c r="K8" s="14">
        <f t="shared" si="0"/>
        <v>0</v>
      </c>
    </row>
    <row r="9" spans="1:11" ht="48">
      <c r="A9" s="24" t="s">
        <v>200</v>
      </c>
      <c r="B9" s="19" t="s">
        <v>174</v>
      </c>
      <c r="C9" s="52">
        <v>5</v>
      </c>
      <c r="D9" s="32">
        <f>COUNTIFS(請求詳細!$E:$E,D$4,請求詳細!$F:$F,$A9)</f>
        <v>4</v>
      </c>
      <c r="E9" s="21">
        <f>COUNTIFS(請求詳細!$E:$E,E$4,請求詳細!$F:$F,$A9)</f>
        <v>2</v>
      </c>
      <c r="F9" s="21">
        <f>COUNTIFS(請求詳細!$E:$E,F$4,請求詳細!$F:$F,$A9)</f>
        <v>4</v>
      </c>
      <c r="G9" s="37">
        <f>COUNTIFS(請求詳細!$E:$E,G$4,請求詳細!$F:$F,$A9)</f>
        <v>6</v>
      </c>
      <c r="H9" s="55">
        <f>COUNTIF(請求詳細!$F:$F,$A9)</f>
        <v>16</v>
      </c>
      <c r="I9" s="47">
        <v>2330</v>
      </c>
      <c r="J9" s="61">
        <f t="shared" si="1"/>
        <v>37280</v>
      </c>
      <c r="K9" s="14">
        <f t="shared" si="0"/>
        <v>0</v>
      </c>
    </row>
    <row r="10" spans="1:11" ht="48">
      <c r="A10" s="24" t="s">
        <v>201</v>
      </c>
      <c r="B10" s="19" t="s">
        <v>174</v>
      </c>
      <c r="C10" s="52">
        <v>4</v>
      </c>
      <c r="D10" s="32">
        <f>COUNTIFS(請求詳細!$E:$E,D$4,請求詳細!$F:$F,$A10)</f>
        <v>0</v>
      </c>
      <c r="E10" s="21">
        <f>COUNTIFS(請求詳細!$E:$E,E$4,請求詳細!$F:$F,$A10)</f>
        <v>0</v>
      </c>
      <c r="F10" s="21">
        <f>COUNTIFS(請求詳細!$E:$E,F$4,請求詳細!$F:$F,$A10)</f>
        <v>0</v>
      </c>
      <c r="G10" s="37">
        <f>COUNTIFS(請求詳細!$E:$E,G$4,請求詳細!$F:$F,$A10)</f>
        <v>0</v>
      </c>
      <c r="H10" s="55">
        <f>COUNTIF(請求詳細!$F:$F,$A10)</f>
        <v>0</v>
      </c>
      <c r="I10" s="47">
        <v>2110</v>
      </c>
      <c r="J10" s="61">
        <f t="shared" si="1"/>
        <v>0</v>
      </c>
      <c r="K10" s="14">
        <f t="shared" si="0"/>
        <v>0</v>
      </c>
    </row>
    <row r="11" spans="1:11" ht="48">
      <c r="A11" s="24" t="s">
        <v>202</v>
      </c>
      <c r="B11" s="19" t="s">
        <v>174</v>
      </c>
      <c r="C11" s="52">
        <v>3</v>
      </c>
      <c r="D11" s="32">
        <f>COUNTIFS(請求詳細!$E:$E,D$4,請求詳細!$F:$F,$A11)</f>
        <v>0</v>
      </c>
      <c r="E11" s="21">
        <f>COUNTIFS(請求詳細!$E:$E,E$4,請求詳細!$F:$F,$A11)</f>
        <v>0</v>
      </c>
      <c r="F11" s="21">
        <f>COUNTIFS(請求詳細!$E:$E,F$4,請求詳細!$F:$F,$A11)</f>
        <v>0</v>
      </c>
      <c r="G11" s="37">
        <f>COUNTIFS(請求詳細!$E:$E,G$4,請求詳細!$F:$F,$A11)</f>
        <v>0</v>
      </c>
      <c r="H11" s="55">
        <f>COUNTIF(請求詳細!$F:$F,$A11)</f>
        <v>0</v>
      </c>
      <c r="I11" s="47">
        <v>2200</v>
      </c>
      <c r="J11" s="61">
        <f t="shared" si="1"/>
        <v>0</v>
      </c>
      <c r="K11" s="14">
        <f t="shared" si="0"/>
        <v>0</v>
      </c>
    </row>
    <row r="12" spans="1:11" ht="48">
      <c r="A12" s="24" t="s">
        <v>219</v>
      </c>
      <c r="B12" s="19" t="s">
        <v>174</v>
      </c>
      <c r="C12" s="52">
        <v>2</v>
      </c>
      <c r="D12" s="32">
        <f>COUNTIFS(請求詳細!$E:$E,D$4,請求詳細!$F:$F,$A12)</f>
        <v>0</v>
      </c>
      <c r="E12" s="21">
        <f>COUNTIFS(請求詳細!$E:$E,E$4,請求詳細!$F:$F,$A12)</f>
        <v>0</v>
      </c>
      <c r="F12" s="21">
        <f>COUNTIFS(請求詳細!$E:$E,F$4,請求詳細!$F:$F,$A12)</f>
        <v>0</v>
      </c>
      <c r="G12" s="37">
        <f>COUNTIFS(請求詳細!$E:$E,G$4,請求詳細!$F:$F,$A12)</f>
        <v>0</v>
      </c>
      <c r="H12" s="55">
        <f>COUNTIF(請求詳細!$F:$F,$A12)</f>
        <v>0</v>
      </c>
      <c r="I12" s="47">
        <v>1670</v>
      </c>
      <c r="J12" s="61">
        <f t="shared" si="1"/>
        <v>0</v>
      </c>
      <c r="K12" s="14">
        <f t="shared" si="0"/>
        <v>0</v>
      </c>
    </row>
    <row r="13" spans="1:11" ht="48">
      <c r="A13" s="24" t="s">
        <v>203</v>
      </c>
      <c r="B13" s="19" t="s">
        <v>175</v>
      </c>
      <c r="C13" s="52">
        <v>5</v>
      </c>
      <c r="D13" s="32">
        <f>COUNTIFS(請求詳細!$E:$E,D$4,請求詳細!$F:$F,$A13)</f>
        <v>7</v>
      </c>
      <c r="E13" s="21">
        <f>COUNTIFS(請求詳細!$E:$E,E$4,請求詳細!$F:$F,$A13)</f>
        <v>7</v>
      </c>
      <c r="F13" s="21">
        <f>COUNTIFS(請求詳細!$E:$E,F$4,請求詳細!$F:$F,$A13)</f>
        <v>0</v>
      </c>
      <c r="G13" s="37">
        <f>COUNTIFS(請求詳細!$E:$E,G$4,請求詳細!$F:$F,$A13)</f>
        <v>14</v>
      </c>
      <c r="H13" s="55">
        <f>COUNTIF(請求詳細!$F:$F,$A13)</f>
        <v>28</v>
      </c>
      <c r="I13" s="47">
        <v>2420</v>
      </c>
      <c r="J13" s="61">
        <f t="shared" si="1"/>
        <v>67760</v>
      </c>
      <c r="K13" s="14">
        <f t="shared" si="0"/>
        <v>0</v>
      </c>
    </row>
    <row r="14" spans="1:11" ht="48">
      <c r="A14" s="24" t="s">
        <v>204</v>
      </c>
      <c r="B14" s="19" t="s">
        <v>175</v>
      </c>
      <c r="C14" s="52">
        <v>4</v>
      </c>
      <c r="D14" s="32">
        <f>COUNTIFS(請求詳細!$E:$E,D$4,請求詳細!$F:$F,$A14)</f>
        <v>0</v>
      </c>
      <c r="E14" s="21">
        <f>COUNTIFS(請求詳細!$E:$E,E$4,請求詳細!$F:$F,$A14)</f>
        <v>3</v>
      </c>
      <c r="F14" s="21">
        <f>COUNTIFS(請求詳細!$E:$E,F$4,請求詳細!$F:$F,$A14)</f>
        <v>0</v>
      </c>
      <c r="G14" s="37">
        <f>COUNTIFS(請求詳細!$E:$E,G$4,請求詳細!$F:$F,$A14)</f>
        <v>6</v>
      </c>
      <c r="H14" s="93">
        <v>4</v>
      </c>
      <c r="I14" s="47">
        <v>2180</v>
      </c>
      <c r="J14" s="61">
        <f t="shared" si="1"/>
        <v>8720</v>
      </c>
      <c r="K14" s="14">
        <f t="shared" si="0"/>
        <v>5</v>
      </c>
    </row>
    <row r="15" spans="1:11" ht="48" hidden="1">
      <c r="A15" s="24" t="s">
        <v>205</v>
      </c>
      <c r="B15" s="19" t="s">
        <v>175</v>
      </c>
      <c r="C15" s="52">
        <v>3</v>
      </c>
      <c r="D15" s="32">
        <f>COUNTIFS(請求詳細!$E:$E,D$4,請求詳細!$F:$F,$A15)</f>
        <v>0</v>
      </c>
      <c r="E15" s="21">
        <f>COUNTIFS(請求詳細!$E:$E,E$4,請求詳細!$F:$F,$A15)</f>
        <v>0</v>
      </c>
      <c r="F15" s="21">
        <f>COUNTIFS(請求詳細!$E:$E,F$4,請求詳細!$F:$F,$A15)</f>
        <v>0</v>
      </c>
      <c r="G15" s="37">
        <f>COUNTIFS(請求詳細!$E:$E,G$4,請求詳細!$F:$F,$A15)</f>
        <v>0</v>
      </c>
      <c r="H15" s="55">
        <f>COUNTIF(請求詳細!$F:$F,$A15)</f>
        <v>0</v>
      </c>
      <c r="I15" s="47"/>
      <c r="J15" s="61">
        <f t="shared" si="1"/>
        <v>0</v>
      </c>
      <c r="K15" s="14">
        <f t="shared" si="0"/>
        <v>0</v>
      </c>
    </row>
    <row r="16" spans="1:11" ht="48">
      <c r="A16" s="24" t="s">
        <v>206</v>
      </c>
      <c r="B16" s="19" t="s">
        <v>175</v>
      </c>
      <c r="C16" s="52">
        <v>2</v>
      </c>
      <c r="D16" s="32">
        <f>COUNTIFS(請求詳細!$E:$E,D$4,請求詳細!$F:$F,$A16)</f>
        <v>0</v>
      </c>
      <c r="E16" s="21">
        <f>COUNTIFS(請求詳細!$E:$E,E$4,請求詳細!$F:$F,$A16)</f>
        <v>1</v>
      </c>
      <c r="F16" s="21">
        <f>COUNTIFS(請求詳細!$E:$E,F$4,請求詳細!$F:$F,$A16)</f>
        <v>0</v>
      </c>
      <c r="G16" s="37">
        <f>COUNTIFS(請求詳細!$E:$E,G$4,請求詳細!$F:$F,$A16)</f>
        <v>2</v>
      </c>
      <c r="H16" s="55">
        <f>COUNTIF(請求詳細!$F:$F,$A16)</f>
        <v>3</v>
      </c>
      <c r="I16" s="47">
        <v>1700</v>
      </c>
      <c r="J16" s="61">
        <f t="shared" si="1"/>
        <v>5100</v>
      </c>
      <c r="K16" s="14">
        <f t="shared" si="0"/>
        <v>0</v>
      </c>
    </row>
    <row r="17" spans="1:11" ht="48">
      <c r="A17" s="24" t="s">
        <v>207</v>
      </c>
      <c r="B17" s="19" t="s">
        <v>176</v>
      </c>
      <c r="C17" s="52">
        <v>5</v>
      </c>
      <c r="D17" s="32">
        <f>COUNTIFS(請求詳細!$E:$E,D$4,請求詳細!$F:$F,$A17)</f>
        <v>0</v>
      </c>
      <c r="E17" s="21">
        <f>COUNTIFS(請求詳細!$E:$E,E$4,請求詳細!$F:$F,$A17)</f>
        <v>0</v>
      </c>
      <c r="F17" s="21">
        <f>COUNTIFS(請求詳細!$E:$E,F$4,請求詳細!$F:$F,$A17)</f>
        <v>0</v>
      </c>
      <c r="G17" s="37">
        <f>COUNTIFS(請求詳細!$E:$E,G$4,請求詳細!$F:$F,$A17)</f>
        <v>0</v>
      </c>
      <c r="H17" s="55">
        <f>COUNTIF(請求詳細!$F:$F,$A17)</f>
        <v>0</v>
      </c>
      <c r="I17" s="47">
        <v>2450</v>
      </c>
      <c r="J17" s="61">
        <f t="shared" si="1"/>
        <v>0</v>
      </c>
      <c r="K17" s="14">
        <f t="shared" si="0"/>
        <v>0</v>
      </c>
    </row>
    <row r="18" spans="1:11" ht="48">
      <c r="A18" s="24" t="s">
        <v>208</v>
      </c>
      <c r="B18" s="19" t="s">
        <v>176</v>
      </c>
      <c r="C18" s="52">
        <v>4</v>
      </c>
      <c r="D18" s="32">
        <f>COUNTIFS(請求詳細!$E:$E,D$4,請求詳細!$F:$F,$A18)</f>
        <v>0</v>
      </c>
      <c r="E18" s="21">
        <f>COUNTIFS(請求詳細!$E:$E,E$4,請求詳細!$F:$F,$A18)</f>
        <v>0</v>
      </c>
      <c r="F18" s="21">
        <f>COUNTIFS(請求詳細!$E:$E,F$4,請求詳細!$F:$F,$A18)</f>
        <v>0</v>
      </c>
      <c r="G18" s="37">
        <f>COUNTIFS(請求詳細!$E:$E,G$4,請求詳細!$F:$F,$A18)</f>
        <v>0</v>
      </c>
      <c r="H18" s="55">
        <f>COUNTIF(請求詳細!$F:$F,$A18)</f>
        <v>0</v>
      </c>
      <c r="I18" s="47">
        <v>2200</v>
      </c>
      <c r="J18" s="61">
        <f t="shared" si="1"/>
        <v>0</v>
      </c>
      <c r="K18" s="14">
        <f t="shared" si="0"/>
        <v>0</v>
      </c>
    </row>
    <row r="19" spans="1:11" ht="48">
      <c r="A19" s="24" t="s">
        <v>209</v>
      </c>
      <c r="B19" s="19" t="s">
        <v>176</v>
      </c>
      <c r="C19" s="52">
        <v>2</v>
      </c>
      <c r="D19" s="32">
        <f>COUNTIFS(請求詳細!$E:$E,D$4,請求詳細!$F:$F,$A19)</f>
        <v>0</v>
      </c>
      <c r="E19" s="21">
        <f>COUNTIFS(請求詳細!$E:$E,E$4,請求詳細!$F:$F,$A19)</f>
        <v>0</v>
      </c>
      <c r="F19" s="21">
        <f>COUNTIFS(請求詳細!$E:$E,F$4,請求詳細!$F:$F,$A19)</f>
        <v>0</v>
      </c>
      <c r="G19" s="37">
        <f>COUNTIFS(請求詳細!$E:$E,G$4,請求詳細!$F:$F,$A19)</f>
        <v>0</v>
      </c>
      <c r="H19" s="55">
        <f>COUNTIF(請求詳細!$F:$F,$A19)</f>
        <v>0</v>
      </c>
      <c r="I19" s="47">
        <v>1600</v>
      </c>
      <c r="J19" s="61">
        <f t="shared" si="1"/>
        <v>0</v>
      </c>
      <c r="K19" s="14">
        <f t="shared" si="0"/>
        <v>0</v>
      </c>
    </row>
    <row r="20" spans="1:11" ht="48">
      <c r="A20" s="24" t="s">
        <v>210</v>
      </c>
      <c r="B20" s="19" t="s">
        <v>177</v>
      </c>
      <c r="C20" s="52">
        <v>5</v>
      </c>
      <c r="D20" s="32">
        <f>COUNTIFS(請求詳細!$E:$E,D$4,請求詳細!$F:$F,$A20)</f>
        <v>0</v>
      </c>
      <c r="E20" s="21">
        <f>COUNTIFS(請求詳細!$E:$E,E$4,請求詳細!$F:$F,$A20)</f>
        <v>1</v>
      </c>
      <c r="F20" s="21">
        <f>COUNTIFS(請求詳細!$E:$E,F$4,請求詳細!$F:$F,$A20)</f>
        <v>0</v>
      </c>
      <c r="G20" s="37">
        <f>COUNTIFS(請求詳細!$E:$E,G$4,請求詳細!$F:$F,$A20)</f>
        <v>0</v>
      </c>
      <c r="H20" s="55">
        <f>COUNTIF(請求詳細!$F:$F,$A20)</f>
        <v>1</v>
      </c>
      <c r="I20" s="47">
        <v>2330</v>
      </c>
      <c r="J20" s="61">
        <f t="shared" si="1"/>
        <v>2330</v>
      </c>
      <c r="K20" s="14">
        <f t="shared" si="0"/>
        <v>0</v>
      </c>
    </row>
    <row r="21" spans="1:11" ht="48">
      <c r="A21" s="24" t="s">
        <v>211</v>
      </c>
      <c r="B21" s="19" t="s">
        <v>177</v>
      </c>
      <c r="C21" s="52">
        <v>4</v>
      </c>
      <c r="D21" s="32">
        <f>COUNTIFS(請求詳細!$E:$E,D$4,請求詳細!$F:$F,$A21)</f>
        <v>0</v>
      </c>
      <c r="E21" s="21">
        <f>COUNTIFS(請求詳細!$E:$E,E$4,請求詳細!$F:$F,$A21)</f>
        <v>2</v>
      </c>
      <c r="F21" s="21">
        <f>COUNTIFS(請求詳細!$E:$E,F$4,請求詳細!$F:$F,$A21)</f>
        <v>2</v>
      </c>
      <c r="G21" s="37">
        <f>COUNTIFS(請求詳細!$E:$E,G$4,請求詳細!$F:$F,$A21)</f>
        <v>8</v>
      </c>
      <c r="H21" s="55">
        <f>COUNTIF(請求詳細!$F:$F,$A21)</f>
        <v>12</v>
      </c>
      <c r="I21" s="47">
        <v>2110</v>
      </c>
      <c r="J21" s="61">
        <f t="shared" si="1"/>
        <v>25320</v>
      </c>
      <c r="K21" s="14">
        <f t="shared" si="0"/>
        <v>0</v>
      </c>
    </row>
    <row r="22" spans="1:11" ht="48">
      <c r="A22" s="24" t="s">
        <v>212</v>
      </c>
      <c r="B22" s="19" t="s">
        <v>177</v>
      </c>
      <c r="C22" s="52">
        <v>3</v>
      </c>
      <c r="D22" s="32">
        <f>COUNTIFS(請求詳細!$E:$E,D$4,請求詳細!$F:$F,$A22)</f>
        <v>0</v>
      </c>
      <c r="E22" s="21">
        <f>COUNTIFS(請求詳細!$E:$E,E$4,請求詳細!$F:$F,$A22)</f>
        <v>0</v>
      </c>
      <c r="F22" s="21">
        <f>COUNTIFS(請求詳細!$E:$E,F$4,請求詳細!$F:$F,$A22)</f>
        <v>0</v>
      </c>
      <c r="G22" s="37">
        <f>COUNTIFS(請求詳細!$E:$E,G$4,請求詳細!$F:$F,$A22)</f>
        <v>0</v>
      </c>
      <c r="H22" s="55">
        <f>COUNTIF(請求詳細!$F:$F,$A22)</f>
        <v>0</v>
      </c>
      <c r="I22" s="47">
        <v>2200</v>
      </c>
      <c r="J22" s="61">
        <f t="shared" si="1"/>
        <v>0</v>
      </c>
      <c r="K22" s="14">
        <f t="shared" si="0"/>
        <v>0</v>
      </c>
    </row>
    <row r="23" spans="1:11" ht="48">
      <c r="A23" s="24" t="s">
        <v>260</v>
      </c>
      <c r="B23" s="19" t="s">
        <v>177</v>
      </c>
      <c r="C23" s="52">
        <v>2</v>
      </c>
      <c r="D23" s="32">
        <f>COUNTIFS(請求詳細!$E:$E,D$4,請求詳細!$F:$F,$A23)</f>
        <v>0</v>
      </c>
      <c r="E23" s="21">
        <f>COUNTIFS(請求詳細!$E:$E,E$4,請求詳細!$F:$F,$A23)</f>
        <v>0</v>
      </c>
      <c r="F23" s="21">
        <f>COUNTIFS(請求詳細!$E:$E,F$4,請求詳細!$F:$F,$A23)</f>
        <v>0</v>
      </c>
      <c r="G23" s="37">
        <f>COUNTIFS(請求詳細!$E:$E,G$4,請求詳細!$F:$F,$A23)</f>
        <v>0</v>
      </c>
      <c r="H23" s="55">
        <f>COUNTIF(請求詳細!$F:$F,$A23)</f>
        <v>0</v>
      </c>
      <c r="I23" s="47">
        <v>1670</v>
      </c>
      <c r="J23" s="61">
        <f t="shared" ref="J23" si="2">H23*I23</f>
        <v>0</v>
      </c>
      <c r="K23" s="14">
        <f t="shared" ref="K23" si="3">SUM(D23:G23)-H23</f>
        <v>0</v>
      </c>
    </row>
    <row r="24" spans="1:11" ht="48">
      <c r="A24" s="24" t="s">
        <v>213</v>
      </c>
      <c r="B24" s="19" t="s">
        <v>178</v>
      </c>
      <c r="C24" s="52">
        <v>5</v>
      </c>
      <c r="D24" s="32">
        <f>COUNTIFS(請求詳細!$E:$E,D$4,請求詳細!$F:$F,$A24)</f>
        <v>5</v>
      </c>
      <c r="E24" s="21">
        <f>COUNTIFS(請求詳細!$E:$E,E$4,請求詳細!$F:$F,$A24)</f>
        <v>0</v>
      </c>
      <c r="F24" s="21">
        <f>COUNTIFS(請求詳細!$E:$E,F$4,請求詳細!$F:$F,$A24)</f>
        <v>0</v>
      </c>
      <c r="G24" s="37">
        <f>COUNTIFS(請求詳細!$E:$E,G$4,請求詳細!$F:$F,$A24)</f>
        <v>0</v>
      </c>
      <c r="H24" s="55">
        <f>COUNTIF(請求詳細!$F:$F,$A24)</f>
        <v>5</v>
      </c>
      <c r="I24" s="47">
        <v>1640</v>
      </c>
      <c r="J24" s="61">
        <f t="shared" si="1"/>
        <v>8200</v>
      </c>
      <c r="K24" s="14">
        <f t="shared" si="0"/>
        <v>0</v>
      </c>
    </row>
    <row r="25" spans="1:11" ht="48.75" customHeight="1" thickBot="1">
      <c r="A25" s="40" t="s">
        <v>214</v>
      </c>
      <c r="B25" s="41" t="s">
        <v>178</v>
      </c>
      <c r="C25" s="53">
        <v>4</v>
      </c>
      <c r="D25" s="42">
        <f>COUNTIFS(請求詳細!$E:$E,D$4,請求詳細!$F:$F,$A25)</f>
        <v>2</v>
      </c>
      <c r="E25" s="43">
        <f>COUNTIFS(請求詳細!$E:$E,E$4,請求詳細!$F:$F,$A25)</f>
        <v>0</v>
      </c>
      <c r="F25" s="43">
        <f>COUNTIFS(請求詳細!$E:$E,F$4,請求詳細!$F:$F,$A25)</f>
        <v>0</v>
      </c>
      <c r="G25" s="44">
        <f>COUNTIFS(請求詳細!$E:$E,G$4,請求詳細!$F:$F,$A25)</f>
        <v>0</v>
      </c>
      <c r="H25" s="56">
        <f>COUNTIF(請求詳細!$F:$F,$A25)</f>
        <v>2</v>
      </c>
      <c r="I25" s="48">
        <v>1320</v>
      </c>
      <c r="J25" s="62">
        <f t="shared" si="1"/>
        <v>2640</v>
      </c>
      <c r="K25" s="14">
        <f>SUM(D25:G25)-H25</f>
        <v>0</v>
      </c>
    </row>
    <row r="26" spans="1:11" ht="48" customHeight="1" thickTop="1" thickBot="1">
      <c r="A26" s="25"/>
      <c r="B26" s="26"/>
      <c r="C26" s="35"/>
      <c r="D26" s="33">
        <f t="shared" ref="D26:G26" si="4">SUM(D5:D25)</f>
        <v>18</v>
      </c>
      <c r="E26" s="27">
        <f t="shared" si="4"/>
        <v>23</v>
      </c>
      <c r="F26" s="27">
        <f t="shared" si="4"/>
        <v>16</v>
      </c>
      <c r="G26" s="38">
        <f t="shared" si="4"/>
        <v>54</v>
      </c>
      <c r="H26" s="57">
        <f>SUM(H5:H25)</f>
        <v>106</v>
      </c>
      <c r="I26" s="49"/>
      <c r="J26" s="63">
        <f>SUM(J5:J25)</f>
        <v>238240</v>
      </c>
    </row>
    <row r="27" spans="1:11">
      <c r="B27" s="15"/>
      <c r="C27" s="16"/>
      <c r="D27" s="16"/>
      <c r="E27" s="16"/>
      <c r="F27" s="16"/>
      <c r="G27" s="16"/>
      <c r="H27" s="30"/>
      <c r="I27" s="30"/>
      <c r="J27" s="64"/>
    </row>
    <row r="28" spans="1:11">
      <c r="B28" s="95" t="s">
        <v>273</v>
      </c>
      <c r="C28" s="96"/>
      <c r="D28" s="96"/>
      <c r="E28" s="96"/>
      <c r="F28" s="96"/>
      <c r="G28" s="96"/>
      <c r="H28" s="30"/>
      <c r="I28" s="30"/>
      <c r="J28" s="64"/>
    </row>
  </sheetData>
  <mergeCells count="2">
    <mergeCell ref="A1:E1"/>
    <mergeCell ref="B28:G28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E5C-9A79-4260-9FD2-C3DEEB261ED9}">
  <sheetPr>
    <tabColor theme="6" tint="0.59999389629810485"/>
  </sheetPr>
  <dimension ref="A1:W133"/>
  <sheetViews>
    <sheetView workbookViewId="0">
      <pane xSplit="7" ySplit="1" topLeftCell="H76" activePane="bottomRight" state="frozen"/>
      <selection pane="topRight" activeCell="H1" sqref="H1"/>
      <selection pane="bottomLeft" activeCell="A2" sqref="A2"/>
      <selection pane="bottomRight" activeCell="H106" sqref="H106:S106"/>
    </sheetView>
  </sheetViews>
  <sheetFormatPr defaultRowHeight="13.5"/>
  <cols>
    <col min="1" max="1" width="9.25" bestFit="1" customWidth="1"/>
    <col min="2" max="2" width="5.25" bestFit="1" customWidth="1"/>
    <col min="3" max="3" width="6.75" bestFit="1" customWidth="1"/>
    <col min="4" max="4" width="13.125" customWidth="1"/>
    <col min="5" max="5" width="17.25" bestFit="1" customWidth="1"/>
    <col min="6" max="6" width="17.25" customWidth="1"/>
    <col min="7" max="7" width="19.25" bestFit="1" customWidth="1"/>
    <col min="8" max="8" width="11.875" bestFit="1" customWidth="1"/>
    <col min="9" max="9" width="14.25" bestFit="1" customWidth="1"/>
    <col min="10" max="10" width="8.625" bestFit="1" customWidth="1"/>
    <col min="11" max="11" width="6.75" bestFit="1" customWidth="1"/>
    <col min="12" max="12" width="11.5" customWidth="1"/>
    <col min="13" max="13" width="9.5" customWidth="1"/>
    <col min="14" max="15" width="6.75" customWidth="1"/>
    <col min="16" max="16" width="11.875" bestFit="1" customWidth="1"/>
    <col min="17" max="17" width="8.625" bestFit="1" customWidth="1"/>
    <col min="18" max="19" width="6.75" bestFit="1" customWidth="1"/>
  </cols>
  <sheetData>
    <row r="1" spans="1:20" ht="17.25">
      <c r="A1" t="s">
        <v>184</v>
      </c>
      <c r="B1" t="s">
        <v>186</v>
      </c>
      <c r="C1" s="1" t="s">
        <v>0</v>
      </c>
      <c r="D1" s="1" t="s">
        <v>1</v>
      </c>
      <c r="E1" s="1" t="s">
        <v>2</v>
      </c>
      <c r="F1" s="1" t="s">
        <v>179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6</v>
      </c>
      <c r="R1" s="1" t="s">
        <v>9</v>
      </c>
      <c r="S1" s="1" t="s">
        <v>7</v>
      </c>
      <c r="T1" s="2"/>
    </row>
    <row r="2" spans="1:20">
      <c r="A2" s="69">
        <v>45778</v>
      </c>
      <c r="B2" t="s">
        <v>189</v>
      </c>
      <c r="C2" s="11">
        <v>1</v>
      </c>
      <c r="D2" s="3" t="s">
        <v>36</v>
      </c>
      <c r="E2" s="7" t="s">
        <v>188</v>
      </c>
      <c r="F2" s="7" t="s">
        <v>195</v>
      </c>
      <c r="G2" s="3" t="s">
        <v>52</v>
      </c>
      <c r="H2" s="3" t="s">
        <v>39</v>
      </c>
      <c r="I2" s="6"/>
      <c r="J2" s="5" t="s">
        <v>40</v>
      </c>
      <c r="K2" s="5">
        <v>5</v>
      </c>
      <c r="L2" s="5"/>
      <c r="M2" s="5"/>
      <c r="N2" s="5"/>
      <c r="O2" s="5"/>
      <c r="P2" s="5" t="s">
        <v>15</v>
      </c>
      <c r="Q2" s="5" t="s">
        <v>27</v>
      </c>
      <c r="R2" s="5">
        <v>79</v>
      </c>
      <c r="S2" s="5">
        <v>5</v>
      </c>
    </row>
    <row r="3" spans="1:20">
      <c r="C3" s="11">
        <v>2</v>
      </c>
      <c r="D3" s="3" t="s">
        <v>36</v>
      </c>
      <c r="E3" s="7" t="s">
        <v>70</v>
      </c>
      <c r="F3" s="7" t="s">
        <v>195</v>
      </c>
      <c r="G3" s="3" t="s">
        <v>73</v>
      </c>
      <c r="H3" s="3" t="s">
        <v>39</v>
      </c>
      <c r="I3" s="6"/>
      <c r="J3" s="5" t="s">
        <v>22</v>
      </c>
      <c r="K3" s="5">
        <v>5</v>
      </c>
      <c r="L3" s="5"/>
      <c r="M3" s="5"/>
      <c r="N3" s="5"/>
      <c r="O3" s="5"/>
      <c r="P3" s="5" t="s">
        <v>20</v>
      </c>
      <c r="Q3" s="5" t="s">
        <v>19</v>
      </c>
      <c r="R3" s="5">
        <v>82</v>
      </c>
      <c r="S3" s="5">
        <v>5</v>
      </c>
    </row>
    <row r="4" spans="1:20">
      <c r="C4" s="11">
        <v>3</v>
      </c>
      <c r="D4" s="3" t="s">
        <v>36</v>
      </c>
      <c r="E4" s="7" t="s">
        <v>70</v>
      </c>
      <c r="F4" s="7" t="s">
        <v>195</v>
      </c>
      <c r="G4" s="3" t="s">
        <v>74</v>
      </c>
      <c r="H4" s="3" t="s">
        <v>39</v>
      </c>
      <c r="I4" s="6"/>
      <c r="J4" s="12" t="s">
        <v>25</v>
      </c>
      <c r="K4" s="5">
        <v>5</v>
      </c>
      <c r="L4" s="5"/>
      <c r="M4" s="5"/>
      <c r="N4" s="5"/>
      <c r="O4" s="5"/>
      <c r="P4" s="5" t="s">
        <v>20</v>
      </c>
      <c r="Q4" s="12" t="s">
        <v>18</v>
      </c>
      <c r="R4" s="5">
        <v>72</v>
      </c>
      <c r="S4" s="5">
        <v>5</v>
      </c>
    </row>
    <row r="5" spans="1:20">
      <c r="C5" s="11">
        <v>4</v>
      </c>
      <c r="D5" s="3" t="s">
        <v>36</v>
      </c>
      <c r="E5" s="7" t="s">
        <v>70</v>
      </c>
      <c r="F5" s="7" t="s">
        <v>195</v>
      </c>
      <c r="G5" s="3" t="s">
        <v>75</v>
      </c>
      <c r="H5" s="3" t="s">
        <v>39</v>
      </c>
      <c r="I5" s="6"/>
      <c r="J5" s="5" t="s">
        <v>22</v>
      </c>
      <c r="K5" s="5">
        <v>5</v>
      </c>
      <c r="L5" s="5"/>
      <c r="M5" s="5"/>
      <c r="N5" s="5"/>
      <c r="O5" s="5"/>
      <c r="P5" s="5" t="s">
        <v>20</v>
      </c>
      <c r="Q5" s="5" t="s">
        <v>19</v>
      </c>
      <c r="R5" s="5">
        <v>75</v>
      </c>
      <c r="S5" s="5">
        <v>5</v>
      </c>
    </row>
    <row r="6" spans="1:20">
      <c r="C6" s="11">
        <v>5</v>
      </c>
      <c r="D6" s="3" t="s">
        <v>36</v>
      </c>
      <c r="E6" s="7" t="s">
        <v>70</v>
      </c>
      <c r="F6" s="7" t="s">
        <v>195</v>
      </c>
      <c r="G6" s="3" t="s">
        <v>76</v>
      </c>
      <c r="H6" s="3" t="s">
        <v>39</v>
      </c>
      <c r="I6" s="6"/>
      <c r="J6" s="5" t="s">
        <v>18</v>
      </c>
      <c r="K6" s="5">
        <v>5</v>
      </c>
      <c r="L6" s="5"/>
      <c r="M6" s="5"/>
      <c r="N6" s="5"/>
      <c r="O6" s="5"/>
      <c r="P6" s="5" t="s">
        <v>20</v>
      </c>
      <c r="Q6" s="5" t="s">
        <v>25</v>
      </c>
      <c r="R6" s="5">
        <v>75</v>
      </c>
      <c r="S6" s="5">
        <v>5</v>
      </c>
    </row>
    <row r="7" spans="1:20">
      <c r="C7" s="11">
        <v>6</v>
      </c>
      <c r="D7" s="3" t="s">
        <v>36</v>
      </c>
      <c r="E7" s="7" t="s">
        <v>70</v>
      </c>
      <c r="F7" s="7" t="s">
        <v>195</v>
      </c>
      <c r="G7" s="3" t="s">
        <v>77</v>
      </c>
      <c r="H7" s="3" t="s">
        <v>39</v>
      </c>
      <c r="I7" s="6"/>
      <c r="J7" s="5" t="s">
        <v>25</v>
      </c>
      <c r="K7" s="5">
        <v>5</v>
      </c>
      <c r="L7" s="5"/>
      <c r="M7" s="5"/>
      <c r="N7" s="5"/>
      <c r="O7" s="5"/>
      <c r="P7" s="5" t="s">
        <v>20</v>
      </c>
      <c r="Q7" s="5" t="s">
        <v>23</v>
      </c>
      <c r="R7" s="5">
        <v>71</v>
      </c>
      <c r="S7" s="5">
        <v>5</v>
      </c>
    </row>
    <row r="8" spans="1:20">
      <c r="C8" s="11">
        <v>7</v>
      </c>
      <c r="D8" s="3" t="s">
        <v>36</v>
      </c>
      <c r="E8" s="7" t="s">
        <v>70</v>
      </c>
      <c r="F8" s="7" t="s">
        <v>199</v>
      </c>
      <c r="G8" s="3" t="s">
        <v>78</v>
      </c>
      <c r="H8" s="3" t="s">
        <v>39</v>
      </c>
      <c r="I8" s="6"/>
      <c r="J8" s="5" t="s">
        <v>25</v>
      </c>
      <c r="K8" s="5">
        <v>4</v>
      </c>
      <c r="L8" s="5"/>
      <c r="M8" s="5"/>
      <c r="N8" s="5"/>
      <c r="O8" s="5"/>
      <c r="P8" s="5" t="s">
        <v>20</v>
      </c>
      <c r="Q8" s="5" t="s">
        <v>18</v>
      </c>
      <c r="R8" s="5">
        <v>73</v>
      </c>
      <c r="S8" s="5">
        <v>4</v>
      </c>
    </row>
    <row r="9" spans="1:20">
      <c r="C9" s="11">
        <v>8</v>
      </c>
      <c r="D9" s="3" t="s">
        <v>69</v>
      </c>
      <c r="E9" s="4" t="s">
        <v>70</v>
      </c>
      <c r="F9" s="4" t="s">
        <v>200</v>
      </c>
      <c r="G9" s="3" t="s">
        <v>71</v>
      </c>
      <c r="H9" s="5" t="s">
        <v>13</v>
      </c>
      <c r="I9" s="6"/>
      <c r="J9" s="5" t="s">
        <v>22</v>
      </c>
      <c r="K9" s="5">
        <v>5</v>
      </c>
      <c r="L9" s="5"/>
      <c r="M9" s="5"/>
      <c r="N9" s="5"/>
      <c r="O9" s="5"/>
      <c r="P9" s="5" t="s">
        <v>20</v>
      </c>
      <c r="Q9" s="5" t="s">
        <v>19</v>
      </c>
      <c r="R9" s="5">
        <v>64</v>
      </c>
      <c r="S9" s="5">
        <v>5</v>
      </c>
    </row>
    <row r="10" spans="1:20">
      <c r="C10" s="11">
        <v>9</v>
      </c>
      <c r="D10" s="3" t="s">
        <v>69</v>
      </c>
      <c r="E10" s="4" t="s">
        <v>70</v>
      </c>
      <c r="F10" s="4" t="s">
        <v>200</v>
      </c>
      <c r="G10" s="3" t="s">
        <v>72</v>
      </c>
      <c r="H10" s="5" t="s">
        <v>13</v>
      </c>
      <c r="I10" s="6"/>
      <c r="J10" s="5" t="s">
        <v>19</v>
      </c>
      <c r="K10" s="5">
        <v>5</v>
      </c>
      <c r="L10" s="5"/>
      <c r="M10" s="5"/>
      <c r="N10" s="5"/>
      <c r="O10" s="5"/>
      <c r="P10" s="5" t="s">
        <v>20</v>
      </c>
      <c r="Q10" s="5" t="s">
        <v>19</v>
      </c>
      <c r="R10" s="5">
        <v>73</v>
      </c>
      <c r="S10" s="5">
        <v>5</v>
      </c>
    </row>
    <row r="11" spans="1:20">
      <c r="C11" s="11">
        <v>10</v>
      </c>
      <c r="D11" s="5" t="s">
        <v>80</v>
      </c>
      <c r="E11" s="13" t="s">
        <v>70</v>
      </c>
      <c r="F11" s="7" t="s">
        <v>203</v>
      </c>
      <c r="G11" s="3" t="s">
        <v>84</v>
      </c>
      <c r="H11" s="8"/>
      <c r="I11" s="5"/>
      <c r="J11" s="5"/>
      <c r="K11" s="5"/>
      <c r="L11" s="8" t="s">
        <v>28</v>
      </c>
      <c r="M11" s="5" t="s">
        <v>34</v>
      </c>
      <c r="N11" s="5" t="s">
        <v>25</v>
      </c>
      <c r="O11" s="5">
        <v>5</v>
      </c>
      <c r="P11" s="5" t="s">
        <v>29</v>
      </c>
      <c r="Q11" s="5" t="s">
        <v>25</v>
      </c>
      <c r="R11" s="5">
        <v>67</v>
      </c>
      <c r="S11" s="5">
        <v>5</v>
      </c>
    </row>
    <row r="12" spans="1:20">
      <c r="C12" s="11">
        <v>11</v>
      </c>
      <c r="D12" s="5" t="s">
        <v>80</v>
      </c>
      <c r="E12" s="13" t="s">
        <v>70</v>
      </c>
      <c r="F12" s="7" t="s">
        <v>203</v>
      </c>
      <c r="G12" s="3" t="s">
        <v>85</v>
      </c>
      <c r="H12" s="8"/>
      <c r="I12" s="5"/>
      <c r="J12" s="5"/>
      <c r="K12" s="5"/>
      <c r="L12" s="8" t="s">
        <v>28</v>
      </c>
      <c r="M12" s="5" t="s">
        <v>34</v>
      </c>
      <c r="N12" s="5" t="s">
        <v>22</v>
      </c>
      <c r="O12" s="5">
        <v>5</v>
      </c>
      <c r="P12" s="5" t="s">
        <v>29</v>
      </c>
      <c r="Q12" s="5" t="s">
        <v>18</v>
      </c>
      <c r="R12" s="5">
        <v>68</v>
      </c>
      <c r="S12" s="5">
        <v>5</v>
      </c>
    </row>
    <row r="13" spans="1:20">
      <c r="A13" s="69">
        <v>45778</v>
      </c>
      <c r="B13" t="s">
        <v>189</v>
      </c>
      <c r="C13" s="11">
        <v>12</v>
      </c>
      <c r="D13" s="5" t="s">
        <v>80</v>
      </c>
      <c r="E13" s="13" t="s">
        <v>70</v>
      </c>
      <c r="F13" s="7" t="s">
        <v>203</v>
      </c>
      <c r="G13" s="3" t="s">
        <v>120</v>
      </c>
      <c r="H13" s="8"/>
      <c r="I13" s="5"/>
      <c r="J13" s="5"/>
      <c r="K13" s="5"/>
      <c r="L13" s="8" t="s">
        <v>28</v>
      </c>
      <c r="M13" s="5" t="s">
        <v>34</v>
      </c>
      <c r="N13" s="5" t="s">
        <v>33</v>
      </c>
      <c r="O13" s="5">
        <v>5</v>
      </c>
      <c r="P13" s="5" t="s">
        <v>29</v>
      </c>
      <c r="Q13" s="5" t="s">
        <v>19</v>
      </c>
      <c r="R13" s="5">
        <v>75</v>
      </c>
      <c r="S13" s="5">
        <v>5</v>
      </c>
    </row>
    <row r="14" spans="1:20">
      <c r="C14" s="11">
        <v>13</v>
      </c>
      <c r="D14" s="5" t="s">
        <v>80</v>
      </c>
      <c r="E14" s="13" t="s">
        <v>70</v>
      </c>
      <c r="F14" s="7" t="s">
        <v>203</v>
      </c>
      <c r="G14" s="3" t="s">
        <v>86</v>
      </c>
      <c r="H14" s="8" t="s">
        <v>28</v>
      </c>
      <c r="I14" s="5" t="s">
        <v>30</v>
      </c>
      <c r="J14" s="5" t="s">
        <v>22</v>
      </c>
      <c r="K14" s="5">
        <v>2</v>
      </c>
      <c r="L14" s="8" t="s">
        <v>28</v>
      </c>
      <c r="M14" s="5" t="s">
        <v>34</v>
      </c>
      <c r="N14" s="5" t="s">
        <v>22</v>
      </c>
      <c r="O14" s="5">
        <v>3</v>
      </c>
      <c r="P14" s="5" t="s">
        <v>29</v>
      </c>
      <c r="Q14" s="5" t="s">
        <v>22</v>
      </c>
      <c r="R14" s="5">
        <v>71</v>
      </c>
      <c r="S14" s="5">
        <v>5</v>
      </c>
    </row>
    <row r="15" spans="1:20">
      <c r="A15" s="69">
        <v>45777</v>
      </c>
      <c r="B15" t="s">
        <v>187</v>
      </c>
      <c r="C15" s="11">
        <v>14</v>
      </c>
      <c r="D15" s="74" t="s">
        <v>80</v>
      </c>
      <c r="E15" s="75" t="s">
        <v>70</v>
      </c>
      <c r="F15" s="76"/>
      <c r="G15" s="77" t="s">
        <v>83</v>
      </c>
      <c r="H15" s="78"/>
      <c r="I15" s="74"/>
      <c r="J15" s="74"/>
      <c r="K15" s="74"/>
      <c r="L15" s="78"/>
      <c r="M15" s="74"/>
      <c r="N15" s="74"/>
      <c r="O15" s="74"/>
      <c r="P15" s="74"/>
      <c r="Q15" s="74"/>
      <c r="R15" s="74"/>
      <c r="S15" s="74"/>
    </row>
    <row r="16" spans="1:20">
      <c r="C16" s="11">
        <v>15</v>
      </c>
      <c r="D16" s="5" t="s">
        <v>80</v>
      </c>
      <c r="E16" s="13" t="s">
        <v>70</v>
      </c>
      <c r="F16" s="7" t="s">
        <v>204</v>
      </c>
      <c r="G16" s="3" t="s">
        <v>87</v>
      </c>
      <c r="H16" s="8" t="s">
        <v>28</v>
      </c>
      <c r="I16" s="5" t="s">
        <v>30</v>
      </c>
      <c r="J16" s="5" t="s">
        <v>33</v>
      </c>
      <c r="K16" s="5">
        <v>2</v>
      </c>
      <c r="L16" s="8" t="s">
        <v>28</v>
      </c>
      <c r="M16" s="5" t="s">
        <v>34</v>
      </c>
      <c r="N16" s="5" t="s">
        <v>33</v>
      </c>
      <c r="O16" s="5">
        <v>2</v>
      </c>
      <c r="P16" s="5" t="s">
        <v>29</v>
      </c>
      <c r="Q16" s="5" t="s">
        <v>19</v>
      </c>
      <c r="R16" s="5">
        <v>77</v>
      </c>
      <c r="S16" s="5">
        <v>4</v>
      </c>
    </row>
    <row r="17" spans="1:20">
      <c r="C17" s="11">
        <v>16</v>
      </c>
      <c r="D17" s="5" t="s">
        <v>80</v>
      </c>
      <c r="E17" s="13" t="s">
        <v>70</v>
      </c>
      <c r="F17" s="7" t="s">
        <v>204</v>
      </c>
      <c r="G17" s="3" t="s">
        <v>88</v>
      </c>
      <c r="H17" s="8" t="s">
        <v>28</v>
      </c>
      <c r="I17" s="5" t="s">
        <v>30</v>
      </c>
      <c r="J17" s="5" t="s">
        <v>19</v>
      </c>
      <c r="K17" s="5">
        <v>2</v>
      </c>
      <c r="L17" s="8" t="s">
        <v>28</v>
      </c>
      <c r="M17" s="5" t="s">
        <v>34</v>
      </c>
      <c r="N17" s="5" t="s">
        <v>19</v>
      </c>
      <c r="O17" s="5">
        <v>2</v>
      </c>
      <c r="P17" s="5" t="s">
        <v>29</v>
      </c>
      <c r="Q17" s="5" t="s">
        <v>18</v>
      </c>
      <c r="R17" s="5">
        <v>67</v>
      </c>
      <c r="S17" s="5">
        <v>4</v>
      </c>
    </row>
    <row r="18" spans="1:20">
      <c r="A18" s="69">
        <v>45770</v>
      </c>
      <c r="B18" t="s">
        <v>226</v>
      </c>
      <c r="C18" s="11">
        <v>17</v>
      </c>
      <c r="D18" s="5" t="s">
        <v>80</v>
      </c>
      <c r="E18" s="13" t="s">
        <v>70</v>
      </c>
      <c r="F18" s="7" t="s">
        <v>231</v>
      </c>
      <c r="G18" s="3" t="s">
        <v>89</v>
      </c>
      <c r="H18" s="8" t="s">
        <v>28</v>
      </c>
      <c r="I18" s="5" t="s">
        <v>30</v>
      </c>
      <c r="J18" s="5" t="s">
        <v>22</v>
      </c>
      <c r="K18" s="5">
        <v>2</v>
      </c>
      <c r="L18" s="8" t="s">
        <v>28</v>
      </c>
      <c r="M18" s="5" t="s">
        <v>34</v>
      </c>
      <c r="N18" s="5" t="s">
        <v>192</v>
      </c>
      <c r="O18" s="5">
        <v>3</v>
      </c>
      <c r="P18" s="5" t="s">
        <v>29</v>
      </c>
      <c r="Q18" s="5" t="s">
        <v>18</v>
      </c>
      <c r="R18" s="5">
        <v>66</v>
      </c>
      <c r="S18" s="5">
        <v>5</v>
      </c>
    </row>
    <row r="19" spans="1:20">
      <c r="C19" s="11">
        <v>18</v>
      </c>
      <c r="D19" s="5" t="s">
        <v>80</v>
      </c>
      <c r="E19" s="13" t="s">
        <v>70</v>
      </c>
      <c r="F19" s="7" t="s">
        <v>204</v>
      </c>
      <c r="G19" s="3" t="s">
        <v>90</v>
      </c>
      <c r="H19" s="8" t="s">
        <v>28</v>
      </c>
      <c r="I19" s="5" t="s">
        <v>30</v>
      </c>
      <c r="J19" s="5" t="s">
        <v>25</v>
      </c>
      <c r="K19" s="5">
        <v>2</v>
      </c>
      <c r="L19" s="8" t="s">
        <v>28</v>
      </c>
      <c r="M19" s="5" t="s">
        <v>34</v>
      </c>
      <c r="N19" s="5" t="s">
        <v>25</v>
      </c>
      <c r="O19" s="5">
        <v>2</v>
      </c>
      <c r="P19" s="5" t="s">
        <v>29</v>
      </c>
      <c r="Q19" s="5" t="s">
        <v>25</v>
      </c>
      <c r="R19" s="5">
        <v>68</v>
      </c>
      <c r="S19" s="5">
        <v>4</v>
      </c>
    </row>
    <row r="20" spans="1:20">
      <c r="A20" s="69">
        <v>45839</v>
      </c>
      <c r="B20" t="s">
        <v>189</v>
      </c>
      <c r="C20" s="11">
        <v>19</v>
      </c>
      <c r="D20" s="5" t="s">
        <v>55</v>
      </c>
      <c r="E20" s="13" t="s">
        <v>70</v>
      </c>
      <c r="F20" s="7" t="s">
        <v>203</v>
      </c>
      <c r="G20" s="3" t="s">
        <v>56</v>
      </c>
      <c r="H20" s="8"/>
      <c r="I20" s="5"/>
      <c r="J20" s="5"/>
      <c r="K20" s="5"/>
      <c r="L20" s="8" t="s">
        <v>28</v>
      </c>
      <c r="M20" s="5" t="s">
        <v>34</v>
      </c>
      <c r="N20" s="5" t="s">
        <v>49</v>
      </c>
      <c r="O20" s="5">
        <v>5</v>
      </c>
      <c r="P20" s="5" t="s">
        <v>57</v>
      </c>
      <c r="Q20" s="5" t="s">
        <v>16</v>
      </c>
      <c r="R20" s="5">
        <v>72</v>
      </c>
      <c r="S20" s="5">
        <v>5</v>
      </c>
    </row>
    <row r="21" spans="1:20">
      <c r="A21" s="69">
        <v>45839</v>
      </c>
      <c r="B21" t="s">
        <v>189</v>
      </c>
      <c r="C21" s="11">
        <v>20</v>
      </c>
      <c r="D21" s="5" t="s">
        <v>55</v>
      </c>
      <c r="E21" s="13" t="s">
        <v>70</v>
      </c>
      <c r="F21" s="7" t="s">
        <v>206</v>
      </c>
      <c r="G21" s="3" t="s">
        <v>185</v>
      </c>
      <c r="H21" s="8"/>
      <c r="I21" s="5"/>
      <c r="J21" s="5"/>
      <c r="K21" s="5"/>
      <c r="L21" s="8" t="s">
        <v>28</v>
      </c>
      <c r="M21" s="5" t="s">
        <v>34</v>
      </c>
      <c r="N21" s="5" t="s">
        <v>22</v>
      </c>
      <c r="O21" s="5">
        <v>2</v>
      </c>
      <c r="P21" s="5" t="s">
        <v>29</v>
      </c>
      <c r="Q21" s="5" t="s">
        <v>19</v>
      </c>
      <c r="R21" s="5">
        <v>73</v>
      </c>
      <c r="S21" s="5">
        <v>2</v>
      </c>
    </row>
    <row r="22" spans="1:20">
      <c r="A22" s="69">
        <v>45854</v>
      </c>
      <c r="B22" t="s">
        <v>189</v>
      </c>
      <c r="C22" s="11">
        <v>21</v>
      </c>
      <c r="D22" s="5" t="s">
        <v>80</v>
      </c>
      <c r="E22" s="13" t="s">
        <v>70</v>
      </c>
      <c r="F22" s="7" t="s">
        <v>203</v>
      </c>
      <c r="G22" s="3" t="s">
        <v>190</v>
      </c>
      <c r="H22" s="8" t="s">
        <v>28</v>
      </c>
      <c r="I22" s="5" t="s">
        <v>30</v>
      </c>
      <c r="J22" s="5" t="s">
        <v>27</v>
      </c>
      <c r="K22" s="5">
        <v>3</v>
      </c>
      <c r="L22" s="8" t="s">
        <v>28</v>
      </c>
      <c r="M22" s="5" t="s">
        <v>34</v>
      </c>
      <c r="N22" s="5" t="s">
        <v>27</v>
      </c>
      <c r="O22" s="5">
        <v>2</v>
      </c>
      <c r="P22" s="5" t="s">
        <v>29</v>
      </c>
      <c r="Q22" s="5" t="s">
        <v>22</v>
      </c>
      <c r="R22" s="5">
        <v>71</v>
      </c>
      <c r="S22" s="5">
        <v>5</v>
      </c>
    </row>
    <row r="23" spans="1:20">
      <c r="A23" s="69">
        <v>45930</v>
      </c>
      <c r="B23" t="s">
        <v>187</v>
      </c>
      <c r="C23" s="11">
        <v>22</v>
      </c>
      <c r="D23" s="83" t="s">
        <v>36</v>
      </c>
      <c r="E23" s="82" t="s">
        <v>70</v>
      </c>
      <c r="F23" s="82"/>
      <c r="G23" s="83" t="s">
        <v>79</v>
      </c>
      <c r="H23" s="83"/>
      <c r="I23" s="85"/>
      <c r="J23" s="80"/>
      <c r="K23" s="80"/>
      <c r="L23" s="80"/>
      <c r="M23" s="80"/>
      <c r="N23" s="80"/>
      <c r="O23" s="80"/>
      <c r="P23" s="80"/>
      <c r="Q23" s="80"/>
      <c r="R23" s="80"/>
      <c r="S23" s="80"/>
    </row>
    <row r="24" spans="1:20">
      <c r="C24" s="11">
        <v>23</v>
      </c>
      <c r="D24" s="3" t="s">
        <v>36</v>
      </c>
      <c r="E24" s="7" t="s">
        <v>37</v>
      </c>
      <c r="F24" s="7" t="s">
        <v>195</v>
      </c>
      <c r="G24" s="3" t="s">
        <v>38</v>
      </c>
      <c r="H24" s="3" t="s">
        <v>39</v>
      </c>
      <c r="I24" s="6"/>
      <c r="J24" s="5" t="s">
        <v>40</v>
      </c>
      <c r="K24" s="5">
        <v>5</v>
      </c>
      <c r="L24" s="5"/>
      <c r="M24" s="5"/>
      <c r="N24" s="5"/>
      <c r="O24" s="5"/>
      <c r="P24" s="5" t="s">
        <v>15</v>
      </c>
      <c r="Q24" s="5" t="s">
        <v>27</v>
      </c>
      <c r="R24" s="5">
        <v>73</v>
      </c>
      <c r="S24" s="5">
        <v>5</v>
      </c>
    </row>
    <row r="25" spans="1:20">
      <c r="C25" s="11">
        <v>24</v>
      </c>
      <c r="D25" s="3" t="s">
        <v>36</v>
      </c>
      <c r="E25" s="7" t="s">
        <v>37</v>
      </c>
      <c r="F25" s="7" t="s">
        <v>195</v>
      </c>
      <c r="G25" s="3" t="s">
        <v>42</v>
      </c>
      <c r="H25" s="3" t="s">
        <v>39</v>
      </c>
      <c r="I25" s="6"/>
      <c r="J25" s="5" t="s">
        <v>27</v>
      </c>
      <c r="K25" s="5">
        <v>5</v>
      </c>
      <c r="L25" s="5"/>
      <c r="M25" s="5"/>
      <c r="N25" s="5"/>
      <c r="O25" s="5"/>
      <c r="P25" s="5" t="s">
        <v>15</v>
      </c>
      <c r="Q25" s="5" t="s">
        <v>14</v>
      </c>
      <c r="R25" s="5">
        <v>72</v>
      </c>
      <c r="S25" s="5">
        <v>5</v>
      </c>
    </row>
    <row r="26" spans="1:20">
      <c r="C26" s="11">
        <v>25</v>
      </c>
      <c r="D26" s="3" t="s">
        <v>36</v>
      </c>
      <c r="E26" s="7" t="s">
        <v>37</v>
      </c>
      <c r="F26" s="7" t="s">
        <v>195</v>
      </c>
      <c r="G26" s="3" t="s">
        <v>44</v>
      </c>
      <c r="H26" s="3" t="s">
        <v>39</v>
      </c>
      <c r="I26" s="6"/>
      <c r="J26" s="5" t="s">
        <v>14</v>
      </c>
      <c r="K26" s="5">
        <v>5</v>
      </c>
      <c r="L26" s="5"/>
      <c r="M26" s="5"/>
      <c r="N26" s="5"/>
      <c r="O26" s="5"/>
      <c r="P26" s="5" t="s">
        <v>15</v>
      </c>
      <c r="Q26" s="5" t="s">
        <v>16</v>
      </c>
      <c r="R26" s="5">
        <v>71</v>
      </c>
      <c r="S26" s="5">
        <v>5</v>
      </c>
    </row>
    <row r="27" spans="1:20">
      <c r="A27" s="69">
        <v>45961</v>
      </c>
      <c r="B27" t="s">
        <v>187</v>
      </c>
      <c r="C27" s="11">
        <v>26</v>
      </c>
      <c r="D27" s="83" t="s">
        <v>36</v>
      </c>
      <c r="E27" s="82" t="s">
        <v>37</v>
      </c>
      <c r="F27" s="82"/>
      <c r="G27" s="83" t="s">
        <v>45</v>
      </c>
      <c r="H27" s="83"/>
      <c r="I27" s="85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spans="1:20" s="10" customFormat="1">
      <c r="A28"/>
      <c r="B28"/>
      <c r="C28" s="11">
        <v>27</v>
      </c>
      <c r="D28" s="3" t="s">
        <v>36</v>
      </c>
      <c r="E28" s="7" t="s">
        <v>37</v>
      </c>
      <c r="F28" s="7" t="s">
        <v>195</v>
      </c>
      <c r="G28" s="3" t="s">
        <v>47</v>
      </c>
      <c r="H28" s="3" t="s">
        <v>39</v>
      </c>
      <c r="I28" s="6"/>
      <c r="J28" s="5" t="s">
        <v>14</v>
      </c>
      <c r="K28" s="5">
        <v>5</v>
      </c>
      <c r="L28" s="5"/>
      <c r="M28" s="5"/>
      <c r="N28" s="5"/>
      <c r="O28" s="5"/>
      <c r="P28" s="5" t="s">
        <v>15</v>
      </c>
      <c r="Q28" s="5" t="s">
        <v>16</v>
      </c>
      <c r="R28" s="5">
        <v>76</v>
      </c>
      <c r="S28" s="5">
        <v>5</v>
      </c>
      <c r="T28"/>
    </row>
    <row r="29" spans="1:20" s="10" customFormat="1">
      <c r="A29"/>
      <c r="B29"/>
      <c r="C29" s="11">
        <v>28</v>
      </c>
      <c r="D29" s="3" t="s">
        <v>36</v>
      </c>
      <c r="E29" s="7" t="s">
        <v>37</v>
      </c>
      <c r="F29" s="7" t="s">
        <v>195</v>
      </c>
      <c r="G29" s="3" t="s">
        <v>48</v>
      </c>
      <c r="H29" s="3" t="s">
        <v>39</v>
      </c>
      <c r="I29" s="6"/>
      <c r="J29" s="5" t="s">
        <v>49</v>
      </c>
      <c r="K29" s="5">
        <v>5</v>
      </c>
      <c r="L29" s="5"/>
      <c r="M29" s="5"/>
      <c r="N29" s="5"/>
      <c r="O29" s="5"/>
      <c r="P29" s="5" t="s">
        <v>15</v>
      </c>
      <c r="Q29" s="5" t="s">
        <v>32</v>
      </c>
      <c r="R29" s="5">
        <v>72</v>
      </c>
      <c r="S29" s="5">
        <v>5</v>
      </c>
      <c r="T29"/>
    </row>
    <row r="30" spans="1:20" s="10" customFormat="1">
      <c r="A30"/>
      <c r="B30"/>
      <c r="C30" s="11">
        <v>29</v>
      </c>
      <c r="D30" s="3" t="s">
        <v>36</v>
      </c>
      <c r="E30" s="7" t="s">
        <v>37</v>
      </c>
      <c r="F30" s="7" t="s">
        <v>195</v>
      </c>
      <c r="G30" s="3" t="s">
        <v>50</v>
      </c>
      <c r="H30" s="3" t="s">
        <v>39</v>
      </c>
      <c r="I30" s="6"/>
      <c r="J30" s="5" t="s">
        <v>40</v>
      </c>
      <c r="K30" s="5">
        <v>5</v>
      </c>
      <c r="L30" s="5"/>
      <c r="M30" s="5"/>
      <c r="N30" s="5"/>
      <c r="O30" s="5"/>
      <c r="P30" s="5" t="s">
        <v>15</v>
      </c>
      <c r="Q30" s="5" t="s">
        <v>14</v>
      </c>
      <c r="R30" s="5">
        <v>70</v>
      </c>
      <c r="S30" s="5">
        <v>5</v>
      </c>
      <c r="T30"/>
    </row>
    <row r="31" spans="1:20" s="10" customFormat="1">
      <c r="A31"/>
      <c r="B31"/>
      <c r="C31" s="11">
        <v>30</v>
      </c>
      <c r="D31" s="3" t="s">
        <v>36</v>
      </c>
      <c r="E31" s="7" t="s">
        <v>37</v>
      </c>
      <c r="F31" s="7" t="s">
        <v>195</v>
      </c>
      <c r="G31" s="3" t="s">
        <v>51</v>
      </c>
      <c r="H31" s="3" t="s">
        <v>39</v>
      </c>
      <c r="I31" s="6"/>
      <c r="J31" s="5" t="s">
        <v>27</v>
      </c>
      <c r="K31" s="5">
        <v>5</v>
      </c>
      <c r="L31" s="5"/>
      <c r="M31" s="5"/>
      <c r="N31" s="5"/>
      <c r="O31" s="5"/>
      <c r="P31" s="5" t="s">
        <v>15</v>
      </c>
      <c r="Q31" s="5" t="s">
        <v>14</v>
      </c>
      <c r="R31" s="5">
        <v>73</v>
      </c>
      <c r="S31" s="5">
        <v>5</v>
      </c>
      <c r="T31"/>
    </row>
    <row r="32" spans="1:20">
      <c r="C32" s="11">
        <v>31</v>
      </c>
      <c r="D32" s="3" t="s">
        <v>36</v>
      </c>
      <c r="E32" s="7" t="s">
        <v>37</v>
      </c>
      <c r="F32" s="7" t="s">
        <v>195</v>
      </c>
      <c r="G32" s="3" t="s">
        <v>53</v>
      </c>
      <c r="H32" s="3" t="s">
        <v>39</v>
      </c>
      <c r="I32" s="6"/>
      <c r="J32" s="5" t="s">
        <v>16</v>
      </c>
      <c r="K32" s="5">
        <v>5</v>
      </c>
      <c r="L32" s="5"/>
      <c r="M32" s="5"/>
      <c r="N32" s="5"/>
      <c r="O32" s="5"/>
      <c r="P32" s="5" t="s">
        <v>15</v>
      </c>
      <c r="Q32" s="5" t="s">
        <v>16</v>
      </c>
      <c r="R32" s="5">
        <v>65</v>
      </c>
      <c r="S32" s="5">
        <v>5</v>
      </c>
    </row>
    <row r="33" spans="1:19">
      <c r="A33" s="69">
        <v>45931</v>
      </c>
      <c r="B33" t="s">
        <v>249</v>
      </c>
      <c r="C33" s="11">
        <v>32</v>
      </c>
      <c r="D33" s="3" t="s">
        <v>36</v>
      </c>
      <c r="E33" s="7" t="s">
        <v>37</v>
      </c>
      <c r="F33" s="7" t="s">
        <v>245</v>
      </c>
      <c r="G33" s="3" t="s">
        <v>246</v>
      </c>
      <c r="H33" s="3" t="s">
        <v>247</v>
      </c>
      <c r="I33" s="6"/>
      <c r="J33" s="5" t="s">
        <v>248</v>
      </c>
      <c r="K33" s="5">
        <v>4</v>
      </c>
      <c r="L33" s="5"/>
      <c r="M33" s="5"/>
      <c r="N33" s="5"/>
      <c r="O33" s="5"/>
      <c r="P33" s="5" t="s">
        <v>15</v>
      </c>
      <c r="Q33" s="5" t="s">
        <v>16</v>
      </c>
      <c r="R33" s="5">
        <v>71.5</v>
      </c>
      <c r="S33" s="5">
        <v>4</v>
      </c>
    </row>
    <row r="34" spans="1:19">
      <c r="A34" s="69">
        <v>45778</v>
      </c>
      <c r="B34" t="s">
        <v>183</v>
      </c>
      <c r="C34" s="11">
        <v>33</v>
      </c>
      <c r="D34" s="3" t="s">
        <v>36</v>
      </c>
      <c r="E34" s="7" t="s">
        <v>37</v>
      </c>
      <c r="F34" s="7" t="s">
        <v>195</v>
      </c>
      <c r="G34" s="3" t="s">
        <v>182</v>
      </c>
      <c r="H34" s="3" t="s">
        <v>39</v>
      </c>
      <c r="I34" s="6"/>
      <c r="J34" s="5" t="s">
        <v>14</v>
      </c>
      <c r="K34" s="5">
        <v>5</v>
      </c>
      <c r="L34" s="5"/>
      <c r="M34" s="5"/>
      <c r="N34" s="5"/>
      <c r="O34" s="5"/>
      <c r="P34" s="5" t="s">
        <v>15</v>
      </c>
      <c r="Q34" s="5" t="s">
        <v>14</v>
      </c>
      <c r="R34" s="5">
        <v>70.5</v>
      </c>
      <c r="S34" s="5">
        <v>5</v>
      </c>
    </row>
    <row r="35" spans="1:19">
      <c r="C35" s="11">
        <v>34</v>
      </c>
      <c r="D35" s="3" t="s">
        <v>10</v>
      </c>
      <c r="E35" s="4" t="s">
        <v>11</v>
      </c>
      <c r="F35" s="4" t="s">
        <v>200</v>
      </c>
      <c r="G35" s="3" t="s">
        <v>12</v>
      </c>
      <c r="H35" s="5" t="s">
        <v>13</v>
      </c>
      <c r="I35" s="6"/>
      <c r="J35" s="5" t="s">
        <v>14</v>
      </c>
      <c r="K35" s="5">
        <v>5</v>
      </c>
      <c r="L35" s="5"/>
      <c r="M35" s="5"/>
      <c r="N35" s="5"/>
      <c r="O35" s="5"/>
      <c r="P35" s="5" t="s">
        <v>15</v>
      </c>
      <c r="Q35" s="5" t="s">
        <v>16</v>
      </c>
      <c r="R35" s="5">
        <v>71</v>
      </c>
      <c r="S35" s="5">
        <v>5</v>
      </c>
    </row>
    <row r="36" spans="1:19">
      <c r="C36" s="11">
        <v>35</v>
      </c>
      <c r="D36" s="3" t="s">
        <v>10</v>
      </c>
      <c r="E36" s="4" t="s">
        <v>11</v>
      </c>
      <c r="F36" s="4" t="s">
        <v>200</v>
      </c>
      <c r="G36" s="3" t="s">
        <v>21</v>
      </c>
      <c r="H36" s="5" t="s">
        <v>13</v>
      </c>
      <c r="I36" s="6"/>
      <c r="J36" s="5" t="s">
        <v>14</v>
      </c>
      <c r="K36" s="5">
        <v>5</v>
      </c>
      <c r="L36" s="5"/>
      <c r="M36" s="5"/>
      <c r="N36" s="5"/>
      <c r="O36" s="5"/>
      <c r="P36" s="5" t="s">
        <v>15</v>
      </c>
      <c r="Q36" s="5" t="s">
        <v>16</v>
      </c>
      <c r="R36" s="5">
        <v>76</v>
      </c>
      <c r="S36" s="5">
        <v>5</v>
      </c>
    </row>
    <row r="37" spans="1:19">
      <c r="C37" s="11">
        <v>36</v>
      </c>
      <c r="D37" s="3" t="s">
        <v>10</v>
      </c>
      <c r="E37" s="4" t="s">
        <v>11</v>
      </c>
      <c r="F37" s="4" t="s">
        <v>200</v>
      </c>
      <c r="G37" s="3" t="s">
        <v>26</v>
      </c>
      <c r="H37" s="5" t="s">
        <v>13</v>
      </c>
      <c r="I37" s="6"/>
      <c r="J37" s="5" t="s">
        <v>27</v>
      </c>
      <c r="K37" s="5">
        <v>5</v>
      </c>
      <c r="L37" s="5"/>
      <c r="M37" s="5"/>
      <c r="N37" s="5"/>
      <c r="O37" s="5"/>
      <c r="P37" s="5" t="s">
        <v>15</v>
      </c>
      <c r="Q37" s="5" t="s">
        <v>14</v>
      </c>
      <c r="R37" s="5">
        <v>72</v>
      </c>
      <c r="S37" s="5">
        <v>5</v>
      </c>
    </row>
    <row r="38" spans="1:19">
      <c r="C38" s="11">
        <v>37</v>
      </c>
      <c r="D38" s="3" t="s">
        <v>10</v>
      </c>
      <c r="E38" s="4" t="s">
        <v>11</v>
      </c>
      <c r="F38" s="4" t="s">
        <v>200</v>
      </c>
      <c r="G38" s="3" t="s">
        <v>31</v>
      </c>
      <c r="H38" s="5" t="s">
        <v>13</v>
      </c>
      <c r="I38" s="6"/>
      <c r="J38" s="5" t="s">
        <v>32</v>
      </c>
      <c r="K38" s="5">
        <v>5</v>
      </c>
      <c r="L38" s="5"/>
      <c r="M38" s="5"/>
      <c r="N38" s="5"/>
      <c r="O38" s="5"/>
      <c r="P38" s="5" t="s">
        <v>15</v>
      </c>
      <c r="Q38" s="5" t="s">
        <v>32</v>
      </c>
      <c r="R38" s="5">
        <v>74</v>
      </c>
      <c r="S38" s="5">
        <v>5</v>
      </c>
    </row>
    <row r="39" spans="1:19">
      <c r="A39" s="69">
        <v>45825</v>
      </c>
      <c r="B39" t="s">
        <v>240</v>
      </c>
      <c r="C39" s="11">
        <v>38</v>
      </c>
      <c r="D39" s="70" t="s">
        <v>55</v>
      </c>
      <c r="E39" s="71" t="s">
        <v>37</v>
      </c>
      <c r="F39" s="71"/>
      <c r="G39" s="72" t="s">
        <v>58</v>
      </c>
      <c r="H39" s="73"/>
      <c r="I39" s="70"/>
      <c r="J39" s="70"/>
      <c r="K39" s="70"/>
      <c r="L39" s="73"/>
      <c r="M39" s="70"/>
      <c r="N39" s="70"/>
      <c r="O39" s="70"/>
      <c r="P39" s="70"/>
      <c r="Q39" s="70"/>
      <c r="R39" s="70"/>
      <c r="S39" s="70"/>
    </row>
    <row r="40" spans="1:19">
      <c r="C40" s="11">
        <v>39</v>
      </c>
      <c r="D40" s="5"/>
      <c r="E40" s="7"/>
      <c r="F40" s="7"/>
      <c r="G40" s="3"/>
      <c r="H40" s="8"/>
      <c r="I40" s="5"/>
      <c r="J40" s="5"/>
      <c r="K40" s="5"/>
      <c r="L40" s="8"/>
      <c r="M40" s="5"/>
      <c r="N40" s="5"/>
      <c r="O40" s="5"/>
      <c r="P40" s="5"/>
      <c r="Q40" s="5"/>
      <c r="R40" s="5"/>
      <c r="S40" s="5"/>
    </row>
    <row r="41" spans="1:19">
      <c r="A41" s="69">
        <v>45916</v>
      </c>
      <c r="B41" t="s">
        <v>241</v>
      </c>
      <c r="C41" s="11">
        <v>40</v>
      </c>
      <c r="D41" s="3" t="s">
        <v>36</v>
      </c>
      <c r="E41" s="7" t="s">
        <v>94</v>
      </c>
      <c r="F41" s="7" t="s">
        <v>195</v>
      </c>
      <c r="G41" s="3" t="s">
        <v>54</v>
      </c>
      <c r="H41" s="3" t="s">
        <v>39</v>
      </c>
      <c r="I41" s="6"/>
      <c r="J41" s="5" t="s">
        <v>16</v>
      </c>
      <c r="K41" s="5">
        <v>5</v>
      </c>
      <c r="L41" s="5"/>
      <c r="M41" s="5"/>
      <c r="N41" s="5"/>
      <c r="O41" s="5"/>
      <c r="P41" s="5" t="s">
        <v>15</v>
      </c>
      <c r="Q41" s="5" t="s">
        <v>16</v>
      </c>
      <c r="R41" s="5">
        <v>68</v>
      </c>
      <c r="S41" s="5">
        <v>5</v>
      </c>
    </row>
    <row r="42" spans="1:19">
      <c r="C42" s="11">
        <v>41</v>
      </c>
      <c r="D42" s="3" t="s">
        <v>36</v>
      </c>
      <c r="E42" s="7" t="s">
        <v>94</v>
      </c>
      <c r="F42" s="7" t="s">
        <v>195</v>
      </c>
      <c r="G42" s="3" t="s">
        <v>101</v>
      </c>
      <c r="H42" s="3" t="s">
        <v>39</v>
      </c>
      <c r="I42" s="6"/>
      <c r="J42" s="5" t="s">
        <v>22</v>
      </c>
      <c r="K42" s="5">
        <v>5</v>
      </c>
      <c r="L42" s="5"/>
      <c r="M42" s="5"/>
      <c r="N42" s="5"/>
      <c r="O42" s="5"/>
      <c r="P42" s="5" t="s">
        <v>20</v>
      </c>
      <c r="Q42" s="5" t="s">
        <v>19</v>
      </c>
      <c r="R42" s="5">
        <v>68</v>
      </c>
      <c r="S42" s="5">
        <v>5</v>
      </c>
    </row>
    <row r="43" spans="1:19">
      <c r="C43" s="11">
        <v>42</v>
      </c>
      <c r="D43" s="3" t="s">
        <v>36</v>
      </c>
      <c r="E43" s="7" t="s">
        <v>94</v>
      </c>
      <c r="F43" s="7" t="s">
        <v>195</v>
      </c>
      <c r="G43" s="3" t="s">
        <v>102</v>
      </c>
      <c r="H43" s="3" t="s">
        <v>39</v>
      </c>
      <c r="I43" s="6"/>
      <c r="J43" s="5" t="s">
        <v>25</v>
      </c>
      <c r="K43" s="5">
        <v>5</v>
      </c>
      <c r="L43" s="5"/>
      <c r="M43" s="5"/>
      <c r="N43" s="5"/>
      <c r="O43" s="5"/>
      <c r="P43" s="5" t="s">
        <v>20</v>
      </c>
      <c r="Q43" s="5" t="s">
        <v>25</v>
      </c>
      <c r="R43" s="5">
        <v>66</v>
      </c>
      <c r="S43" s="5">
        <v>5</v>
      </c>
    </row>
    <row r="44" spans="1:19">
      <c r="C44" s="11">
        <v>43</v>
      </c>
      <c r="D44" s="3" t="s">
        <v>36</v>
      </c>
      <c r="E44" s="7" t="s">
        <v>94</v>
      </c>
      <c r="F44" s="7" t="s">
        <v>195</v>
      </c>
      <c r="G44" s="3" t="s">
        <v>103</v>
      </c>
      <c r="H44" s="3" t="s">
        <v>39</v>
      </c>
      <c r="I44" s="6"/>
      <c r="J44" s="5" t="s">
        <v>22</v>
      </c>
      <c r="K44" s="5">
        <v>5</v>
      </c>
      <c r="L44" s="5"/>
      <c r="M44" s="5"/>
      <c r="N44" s="5"/>
      <c r="O44" s="5"/>
      <c r="P44" s="5" t="s">
        <v>20</v>
      </c>
      <c r="Q44" s="5" t="s">
        <v>18</v>
      </c>
      <c r="R44" s="5">
        <v>75</v>
      </c>
      <c r="S44" s="5">
        <v>5</v>
      </c>
    </row>
    <row r="45" spans="1:19">
      <c r="C45" s="11">
        <v>44</v>
      </c>
      <c r="D45" s="3" t="s">
        <v>36</v>
      </c>
      <c r="E45" s="7" t="s">
        <v>94</v>
      </c>
      <c r="F45" s="7" t="s">
        <v>195</v>
      </c>
      <c r="G45" s="3" t="s">
        <v>104</v>
      </c>
      <c r="H45" s="3" t="s">
        <v>39</v>
      </c>
      <c r="I45" s="6"/>
      <c r="J45" s="5" t="s">
        <v>19</v>
      </c>
      <c r="K45" s="5">
        <v>5</v>
      </c>
      <c r="L45" s="5"/>
      <c r="M45" s="5"/>
      <c r="N45" s="5"/>
      <c r="O45" s="5"/>
      <c r="P45" s="5" t="s">
        <v>20</v>
      </c>
      <c r="Q45" s="5" t="s">
        <v>25</v>
      </c>
      <c r="R45" s="5">
        <v>71</v>
      </c>
      <c r="S45" s="5">
        <v>5</v>
      </c>
    </row>
    <row r="46" spans="1:19">
      <c r="C46" s="11">
        <v>45</v>
      </c>
      <c r="D46" s="3" t="s">
        <v>36</v>
      </c>
      <c r="E46" s="7" t="s">
        <v>94</v>
      </c>
      <c r="F46" s="7" t="s">
        <v>195</v>
      </c>
      <c r="G46" s="3" t="s">
        <v>105</v>
      </c>
      <c r="H46" s="3" t="s">
        <v>39</v>
      </c>
      <c r="I46" s="6"/>
      <c r="J46" s="5" t="s">
        <v>33</v>
      </c>
      <c r="K46" s="5">
        <v>5</v>
      </c>
      <c r="L46" s="5"/>
      <c r="M46" s="5"/>
      <c r="N46" s="5"/>
      <c r="O46" s="5"/>
      <c r="P46" s="5" t="s">
        <v>20</v>
      </c>
      <c r="Q46" s="5" t="s">
        <v>22</v>
      </c>
      <c r="R46" s="5">
        <v>70</v>
      </c>
      <c r="S46" s="5">
        <v>5</v>
      </c>
    </row>
    <row r="47" spans="1:19">
      <c r="A47" s="69">
        <v>45988</v>
      </c>
      <c r="B47" t="s">
        <v>240</v>
      </c>
      <c r="C47" s="11">
        <v>46</v>
      </c>
      <c r="D47" s="72" t="s">
        <v>36</v>
      </c>
      <c r="E47" s="71" t="s">
        <v>94</v>
      </c>
      <c r="F47" s="71"/>
      <c r="G47" s="72" t="s">
        <v>106</v>
      </c>
      <c r="H47" s="72"/>
      <c r="I47" s="90"/>
      <c r="J47" s="70"/>
      <c r="K47" s="70"/>
      <c r="L47" s="70"/>
      <c r="M47" s="70"/>
      <c r="N47" s="70"/>
      <c r="O47" s="70"/>
      <c r="P47" s="70"/>
      <c r="Q47" s="70"/>
      <c r="R47" s="70"/>
      <c r="S47" s="70"/>
    </row>
    <row r="48" spans="1:19">
      <c r="A48" s="69">
        <v>45884</v>
      </c>
      <c r="B48" t="s">
        <v>187</v>
      </c>
      <c r="C48" s="11">
        <v>47</v>
      </c>
      <c r="D48" s="83" t="s">
        <v>36</v>
      </c>
      <c r="E48" s="82" t="s">
        <v>94</v>
      </c>
      <c r="F48" s="82"/>
      <c r="G48" s="83" t="s">
        <v>107</v>
      </c>
      <c r="H48" s="83"/>
      <c r="I48" s="85"/>
      <c r="J48" s="80"/>
      <c r="K48" s="80"/>
      <c r="L48" s="80"/>
      <c r="M48" s="80"/>
      <c r="N48" s="80"/>
      <c r="O48" s="80"/>
      <c r="P48" s="80"/>
      <c r="Q48" s="80"/>
      <c r="R48" s="80"/>
      <c r="S48" s="80"/>
    </row>
    <row r="49" spans="1:19">
      <c r="C49" s="11">
        <v>48</v>
      </c>
      <c r="D49" s="3" t="s">
        <v>36</v>
      </c>
      <c r="E49" s="7" t="s">
        <v>94</v>
      </c>
      <c r="F49" s="7" t="s">
        <v>195</v>
      </c>
      <c r="G49" s="3" t="s">
        <v>108</v>
      </c>
      <c r="H49" s="3" t="s">
        <v>39</v>
      </c>
      <c r="I49" s="6"/>
      <c r="J49" s="5" t="s">
        <v>25</v>
      </c>
      <c r="K49" s="5">
        <v>5</v>
      </c>
      <c r="L49" s="5"/>
      <c r="M49" s="5"/>
      <c r="N49" s="5"/>
      <c r="O49" s="5"/>
      <c r="P49" s="5" t="s">
        <v>20</v>
      </c>
      <c r="Q49" s="5" t="s">
        <v>25</v>
      </c>
      <c r="R49" s="5">
        <v>66</v>
      </c>
      <c r="S49" s="5">
        <v>5</v>
      </c>
    </row>
    <row r="50" spans="1:19">
      <c r="C50" s="11">
        <v>49</v>
      </c>
      <c r="D50" s="3" t="s">
        <v>36</v>
      </c>
      <c r="E50" s="7" t="s">
        <v>94</v>
      </c>
      <c r="F50" s="7" t="s">
        <v>195</v>
      </c>
      <c r="G50" s="3" t="s">
        <v>109</v>
      </c>
      <c r="H50" s="3" t="s">
        <v>39</v>
      </c>
      <c r="I50" s="6"/>
      <c r="J50" s="5" t="s">
        <v>25</v>
      </c>
      <c r="K50" s="5">
        <v>5</v>
      </c>
      <c r="L50" s="5"/>
      <c r="M50" s="5"/>
      <c r="N50" s="5"/>
      <c r="O50" s="5"/>
      <c r="P50" s="5" t="s">
        <v>20</v>
      </c>
      <c r="Q50" s="5" t="s">
        <v>18</v>
      </c>
      <c r="R50" s="5">
        <v>72</v>
      </c>
      <c r="S50" s="5">
        <v>5</v>
      </c>
    </row>
    <row r="51" spans="1:19">
      <c r="C51" s="11">
        <v>50</v>
      </c>
      <c r="D51" s="3" t="s">
        <v>36</v>
      </c>
      <c r="E51" s="7" t="s">
        <v>94</v>
      </c>
      <c r="F51" s="7" t="s">
        <v>195</v>
      </c>
      <c r="G51" s="3" t="s">
        <v>110</v>
      </c>
      <c r="H51" s="3" t="s">
        <v>39</v>
      </c>
      <c r="I51" s="6"/>
      <c r="J51" s="5" t="s">
        <v>22</v>
      </c>
      <c r="K51" s="5">
        <v>5</v>
      </c>
      <c r="L51" s="5"/>
      <c r="M51" s="5"/>
      <c r="N51" s="5"/>
      <c r="O51" s="5"/>
      <c r="P51" s="5" t="s">
        <v>20</v>
      </c>
      <c r="Q51" s="5" t="s">
        <v>22</v>
      </c>
      <c r="R51" s="5">
        <v>65</v>
      </c>
      <c r="S51" s="5">
        <v>5</v>
      </c>
    </row>
    <row r="52" spans="1:19">
      <c r="A52" s="69"/>
      <c r="C52" s="11">
        <v>51</v>
      </c>
      <c r="D52" s="3" t="s">
        <v>36</v>
      </c>
      <c r="E52" s="7" t="s">
        <v>94</v>
      </c>
      <c r="F52" s="7" t="s">
        <v>235</v>
      </c>
      <c r="G52" s="3" t="s">
        <v>111</v>
      </c>
      <c r="H52" s="3" t="s">
        <v>236</v>
      </c>
      <c r="I52" s="6"/>
      <c r="J52" s="5" t="s">
        <v>237</v>
      </c>
      <c r="K52" s="5">
        <v>5</v>
      </c>
      <c r="L52" s="5"/>
      <c r="M52" s="5"/>
      <c r="N52" s="5"/>
      <c r="O52" s="5"/>
      <c r="P52" s="5" t="s">
        <v>238</v>
      </c>
      <c r="Q52" s="5" t="s">
        <v>239</v>
      </c>
      <c r="R52" s="5">
        <v>72</v>
      </c>
      <c r="S52" s="5">
        <v>5</v>
      </c>
    </row>
    <row r="53" spans="1:19">
      <c r="C53" s="11">
        <v>52</v>
      </c>
      <c r="D53" s="3" t="s">
        <v>36</v>
      </c>
      <c r="E53" s="7" t="s">
        <v>94</v>
      </c>
      <c r="F53" s="7" t="s">
        <v>195</v>
      </c>
      <c r="G53" s="3" t="s">
        <v>112</v>
      </c>
      <c r="H53" s="3" t="s">
        <v>39</v>
      </c>
      <c r="I53" s="6"/>
      <c r="J53" s="5" t="s">
        <v>22</v>
      </c>
      <c r="K53" s="5">
        <v>5</v>
      </c>
      <c r="L53" s="5"/>
      <c r="M53" s="5"/>
      <c r="N53" s="5"/>
      <c r="O53" s="5"/>
      <c r="P53" s="5" t="s">
        <v>20</v>
      </c>
      <c r="Q53" s="5" t="s">
        <v>19</v>
      </c>
      <c r="R53" s="5">
        <v>72</v>
      </c>
      <c r="S53" s="5">
        <v>5</v>
      </c>
    </row>
    <row r="54" spans="1:19">
      <c r="C54" s="11">
        <v>53</v>
      </c>
      <c r="D54" s="3" t="s">
        <v>36</v>
      </c>
      <c r="E54" s="7" t="s">
        <v>94</v>
      </c>
      <c r="F54" s="7" t="s">
        <v>195</v>
      </c>
      <c r="G54" s="3" t="s">
        <v>114</v>
      </c>
      <c r="H54" s="3" t="s">
        <v>39</v>
      </c>
      <c r="I54" s="6"/>
      <c r="J54" s="5" t="s">
        <v>18</v>
      </c>
      <c r="K54" s="5">
        <v>5</v>
      </c>
      <c r="L54" s="5"/>
      <c r="M54" s="5"/>
      <c r="N54" s="5"/>
      <c r="O54" s="5"/>
      <c r="P54" s="5" t="s">
        <v>20</v>
      </c>
      <c r="Q54" s="5" t="s">
        <v>18</v>
      </c>
      <c r="R54" s="5">
        <v>70</v>
      </c>
      <c r="S54" s="5">
        <v>5</v>
      </c>
    </row>
    <row r="55" spans="1:19">
      <c r="C55" s="11">
        <v>54</v>
      </c>
      <c r="D55" s="3" t="s">
        <v>36</v>
      </c>
      <c r="E55" s="7" t="s">
        <v>94</v>
      </c>
      <c r="F55" s="7" t="s">
        <v>195</v>
      </c>
      <c r="G55" s="3" t="s">
        <v>115</v>
      </c>
      <c r="H55" s="3" t="s">
        <v>39</v>
      </c>
      <c r="I55" s="6"/>
      <c r="J55" s="5" t="s">
        <v>33</v>
      </c>
      <c r="K55" s="5">
        <v>5</v>
      </c>
      <c r="L55" s="5"/>
      <c r="M55" s="5"/>
      <c r="N55" s="5"/>
      <c r="O55" s="5"/>
      <c r="P55" s="5" t="s">
        <v>20</v>
      </c>
      <c r="Q55" s="5" t="s">
        <v>22</v>
      </c>
      <c r="R55" s="5">
        <v>74</v>
      </c>
      <c r="S55" s="5">
        <v>5</v>
      </c>
    </row>
    <row r="56" spans="1:19">
      <c r="C56" s="11">
        <v>55</v>
      </c>
      <c r="D56" s="3" t="s">
        <v>36</v>
      </c>
      <c r="E56" s="7" t="s">
        <v>94</v>
      </c>
      <c r="F56" s="7" t="s">
        <v>195</v>
      </c>
      <c r="G56" s="3" t="s">
        <v>116</v>
      </c>
      <c r="H56" s="3" t="s">
        <v>39</v>
      </c>
      <c r="I56" s="6"/>
      <c r="J56" s="5" t="s">
        <v>18</v>
      </c>
      <c r="K56" s="5">
        <v>5</v>
      </c>
      <c r="L56" s="5"/>
      <c r="M56" s="5"/>
      <c r="N56" s="5"/>
      <c r="O56" s="5"/>
      <c r="P56" s="5" t="s">
        <v>20</v>
      </c>
      <c r="Q56" s="5" t="s">
        <v>18</v>
      </c>
      <c r="R56" s="5">
        <v>65</v>
      </c>
      <c r="S56" s="5">
        <v>5</v>
      </c>
    </row>
    <row r="57" spans="1:19">
      <c r="C57" s="11">
        <v>56</v>
      </c>
      <c r="D57" s="3" t="s">
        <v>36</v>
      </c>
      <c r="E57" s="7" t="s">
        <v>94</v>
      </c>
      <c r="F57" s="7" t="s">
        <v>195</v>
      </c>
      <c r="G57" s="3" t="s">
        <v>117</v>
      </c>
      <c r="H57" s="3" t="s">
        <v>39</v>
      </c>
      <c r="I57" s="6"/>
      <c r="J57" s="5" t="s">
        <v>18</v>
      </c>
      <c r="K57" s="5">
        <v>5</v>
      </c>
      <c r="L57" s="5"/>
      <c r="M57" s="5"/>
      <c r="N57" s="5"/>
      <c r="O57" s="5"/>
      <c r="P57" s="5" t="s">
        <v>20</v>
      </c>
      <c r="Q57" s="5" t="s">
        <v>18</v>
      </c>
      <c r="R57" s="5">
        <v>66</v>
      </c>
      <c r="S57" s="5">
        <v>5</v>
      </c>
    </row>
    <row r="58" spans="1:19">
      <c r="C58" s="11">
        <v>57</v>
      </c>
      <c r="D58" s="3" t="s">
        <v>36</v>
      </c>
      <c r="E58" s="7" t="s">
        <v>94</v>
      </c>
      <c r="F58" s="7" t="s">
        <v>195</v>
      </c>
      <c r="G58" s="3" t="s">
        <v>118</v>
      </c>
      <c r="H58" s="3" t="s">
        <v>39</v>
      </c>
      <c r="I58" s="6"/>
      <c r="J58" s="5" t="s">
        <v>22</v>
      </c>
      <c r="K58" s="5">
        <v>5</v>
      </c>
      <c r="L58" s="5"/>
      <c r="M58" s="5"/>
      <c r="N58" s="5"/>
      <c r="O58" s="5"/>
      <c r="P58" s="5" t="s">
        <v>20</v>
      </c>
      <c r="Q58" s="5" t="s">
        <v>19</v>
      </c>
      <c r="R58" s="5">
        <v>70</v>
      </c>
      <c r="S58" s="5">
        <v>5</v>
      </c>
    </row>
    <row r="59" spans="1:19">
      <c r="C59" s="11">
        <v>58</v>
      </c>
      <c r="D59" s="3" t="s">
        <v>36</v>
      </c>
      <c r="E59" s="7" t="s">
        <v>94</v>
      </c>
      <c r="F59" s="7" t="s">
        <v>195</v>
      </c>
      <c r="G59" s="3" t="s">
        <v>119</v>
      </c>
      <c r="H59" s="3" t="s">
        <v>39</v>
      </c>
      <c r="I59" s="6"/>
      <c r="J59" s="5" t="s">
        <v>22</v>
      </c>
      <c r="K59" s="5">
        <v>5</v>
      </c>
      <c r="L59" s="5"/>
      <c r="M59" s="5"/>
      <c r="N59" s="5"/>
      <c r="O59" s="5"/>
      <c r="P59" s="5" t="s">
        <v>20</v>
      </c>
      <c r="Q59" s="5" t="s">
        <v>19</v>
      </c>
      <c r="R59" s="5">
        <v>75</v>
      </c>
      <c r="S59" s="5">
        <v>5</v>
      </c>
    </row>
    <row r="60" spans="1:19">
      <c r="C60" s="11">
        <v>59</v>
      </c>
      <c r="D60" s="3" t="s">
        <v>36</v>
      </c>
      <c r="E60" s="7" t="s">
        <v>94</v>
      </c>
      <c r="F60" s="7" t="s">
        <v>199</v>
      </c>
      <c r="G60" s="3" t="s">
        <v>113</v>
      </c>
      <c r="H60" s="3" t="s">
        <v>39</v>
      </c>
      <c r="I60" s="6"/>
      <c r="J60" s="5" t="s">
        <v>19</v>
      </c>
      <c r="K60" s="5">
        <v>4</v>
      </c>
      <c r="L60" s="5"/>
      <c r="M60" s="5"/>
      <c r="N60" s="5"/>
      <c r="O60" s="5"/>
      <c r="P60" s="5" t="s">
        <v>20</v>
      </c>
      <c r="Q60" s="5" t="s">
        <v>18</v>
      </c>
      <c r="R60" s="5">
        <v>72</v>
      </c>
      <c r="S60" s="5">
        <v>4</v>
      </c>
    </row>
    <row r="61" spans="1:19">
      <c r="C61" s="11">
        <v>60</v>
      </c>
      <c r="D61" s="3" t="s">
        <v>69</v>
      </c>
      <c r="E61" s="4" t="s">
        <v>94</v>
      </c>
      <c r="F61" s="4" t="s">
        <v>200</v>
      </c>
      <c r="G61" s="3" t="s">
        <v>95</v>
      </c>
      <c r="H61" s="5" t="s">
        <v>13</v>
      </c>
      <c r="I61" s="6"/>
      <c r="J61" s="5" t="s">
        <v>18</v>
      </c>
      <c r="K61" s="5">
        <v>5</v>
      </c>
      <c r="L61" s="5"/>
      <c r="M61" s="5"/>
      <c r="N61" s="5"/>
      <c r="O61" s="5"/>
      <c r="P61" s="5" t="s">
        <v>20</v>
      </c>
      <c r="Q61" s="4" t="s">
        <v>18</v>
      </c>
      <c r="R61" s="5">
        <v>72</v>
      </c>
      <c r="S61" s="5">
        <v>5</v>
      </c>
    </row>
    <row r="62" spans="1:19">
      <c r="C62" s="11">
        <v>61</v>
      </c>
      <c r="D62" s="3" t="s">
        <v>69</v>
      </c>
      <c r="E62" s="4" t="s">
        <v>94</v>
      </c>
      <c r="F62" s="4" t="s">
        <v>200</v>
      </c>
      <c r="G62" s="3" t="s">
        <v>96</v>
      </c>
      <c r="H62" s="5" t="s">
        <v>13</v>
      </c>
      <c r="I62" s="6"/>
      <c r="J62" s="5" t="s">
        <v>25</v>
      </c>
      <c r="K62" s="5">
        <v>5</v>
      </c>
      <c r="L62" s="5"/>
      <c r="M62" s="5"/>
      <c r="N62" s="5"/>
      <c r="O62" s="5"/>
      <c r="P62" s="5" t="s">
        <v>20</v>
      </c>
      <c r="Q62" s="4" t="s">
        <v>25</v>
      </c>
      <c r="R62" s="5">
        <v>66</v>
      </c>
      <c r="S62" s="5">
        <v>5</v>
      </c>
    </row>
    <row r="63" spans="1:19">
      <c r="C63" s="11">
        <v>62</v>
      </c>
      <c r="D63" s="3" t="s">
        <v>69</v>
      </c>
      <c r="E63" s="4" t="s">
        <v>94</v>
      </c>
      <c r="F63" s="4" t="s">
        <v>200</v>
      </c>
      <c r="G63" s="3" t="s">
        <v>97</v>
      </c>
      <c r="H63" s="5" t="s">
        <v>13</v>
      </c>
      <c r="I63" s="6"/>
      <c r="J63" s="5" t="s">
        <v>19</v>
      </c>
      <c r="K63" s="5">
        <v>5</v>
      </c>
      <c r="L63" s="5"/>
      <c r="M63" s="5"/>
      <c r="N63" s="5"/>
      <c r="O63" s="5"/>
      <c r="P63" s="5" t="s">
        <v>20</v>
      </c>
      <c r="Q63" s="5" t="s">
        <v>18</v>
      </c>
      <c r="R63" s="5">
        <v>70</v>
      </c>
      <c r="S63" s="5">
        <v>5</v>
      </c>
    </row>
    <row r="64" spans="1:19">
      <c r="C64" s="11">
        <v>63</v>
      </c>
      <c r="D64" s="3" t="s">
        <v>69</v>
      </c>
      <c r="E64" s="4" t="s">
        <v>94</v>
      </c>
      <c r="F64" s="4" t="s">
        <v>200</v>
      </c>
      <c r="G64" s="3" t="s">
        <v>98</v>
      </c>
      <c r="H64" s="5" t="s">
        <v>13</v>
      </c>
      <c r="I64" s="6"/>
      <c r="J64" s="5" t="s">
        <v>19</v>
      </c>
      <c r="K64" s="5">
        <v>5</v>
      </c>
      <c r="L64" s="5"/>
      <c r="M64" s="5"/>
      <c r="N64" s="5"/>
      <c r="O64" s="5"/>
      <c r="P64" s="5" t="s">
        <v>20</v>
      </c>
      <c r="Q64" s="5" t="s">
        <v>19</v>
      </c>
      <c r="R64" s="5">
        <v>70</v>
      </c>
      <c r="S64" s="5">
        <v>5</v>
      </c>
    </row>
    <row r="65" spans="1:19">
      <c r="C65" s="11">
        <v>64</v>
      </c>
      <c r="D65" s="3" t="s">
        <v>69</v>
      </c>
      <c r="E65" s="4" t="s">
        <v>94</v>
      </c>
      <c r="F65" s="4" t="s">
        <v>200</v>
      </c>
      <c r="G65" s="3" t="s">
        <v>99</v>
      </c>
      <c r="H65" s="5" t="s">
        <v>13</v>
      </c>
      <c r="I65" s="6"/>
      <c r="J65" s="5" t="s">
        <v>19</v>
      </c>
      <c r="K65" s="5">
        <v>5</v>
      </c>
      <c r="L65" s="5"/>
      <c r="M65" s="5"/>
      <c r="N65" s="5"/>
      <c r="O65" s="5"/>
      <c r="P65" s="5" t="s">
        <v>20</v>
      </c>
      <c r="Q65" s="5" t="s">
        <v>19</v>
      </c>
      <c r="R65" s="5">
        <v>72</v>
      </c>
      <c r="S65" s="5">
        <v>5</v>
      </c>
    </row>
    <row r="66" spans="1:19">
      <c r="C66" s="11">
        <v>65</v>
      </c>
      <c r="D66" s="3" t="s">
        <v>69</v>
      </c>
      <c r="E66" s="4" t="s">
        <v>94</v>
      </c>
      <c r="F66" s="4" t="s">
        <v>200</v>
      </c>
      <c r="G66" s="3" t="s">
        <v>100</v>
      </c>
      <c r="H66" s="5" t="s">
        <v>13</v>
      </c>
      <c r="I66" s="6"/>
      <c r="J66" s="5" t="s">
        <v>25</v>
      </c>
      <c r="K66" s="5">
        <v>5</v>
      </c>
      <c r="L66" s="5"/>
      <c r="M66" s="5"/>
      <c r="N66" s="5"/>
      <c r="O66" s="5"/>
      <c r="P66" s="5" t="s">
        <v>20</v>
      </c>
      <c r="Q66" s="5" t="s">
        <v>25</v>
      </c>
      <c r="R66" s="5">
        <v>69</v>
      </c>
      <c r="S66" s="5">
        <v>5</v>
      </c>
    </row>
    <row r="67" spans="1:19">
      <c r="C67" s="11">
        <v>66</v>
      </c>
      <c r="D67" s="5" t="s">
        <v>80</v>
      </c>
      <c r="E67" s="13" t="s">
        <v>94</v>
      </c>
      <c r="F67" s="7" t="s">
        <v>203</v>
      </c>
      <c r="G67" s="3" t="s">
        <v>122</v>
      </c>
      <c r="H67" s="8"/>
      <c r="I67" s="5"/>
      <c r="J67" s="5"/>
      <c r="K67" s="5"/>
      <c r="L67" s="8" t="s">
        <v>28</v>
      </c>
      <c r="M67" s="5" t="s">
        <v>34</v>
      </c>
      <c r="N67" s="5" t="s">
        <v>33</v>
      </c>
      <c r="O67" s="5">
        <v>5</v>
      </c>
      <c r="P67" s="5" t="s">
        <v>29</v>
      </c>
      <c r="Q67" s="5" t="s">
        <v>18</v>
      </c>
      <c r="R67" s="5">
        <v>75</v>
      </c>
      <c r="S67" s="5">
        <v>5</v>
      </c>
    </row>
    <row r="68" spans="1:19">
      <c r="C68" s="11">
        <v>67</v>
      </c>
      <c r="D68" s="5" t="s">
        <v>80</v>
      </c>
      <c r="E68" s="13" t="s">
        <v>94</v>
      </c>
      <c r="F68" s="7" t="s">
        <v>203</v>
      </c>
      <c r="G68" s="3" t="s">
        <v>123</v>
      </c>
      <c r="H68" s="8"/>
      <c r="I68" s="5"/>
      <c r="J68" s="5"/>
      <c r="K68" s="5"/>
      <c r="L68" s="8" t="s">
        <v>28</v>
      </c>
      <c r="M68" s="5" t="s">
        <v>34</v>
      </c>
      <c r="N68" s="5" t="s">
        <v>33</v>
      </c>
      <c r="O68" s="5">
        <v>5</v>
      </c>
      <c r="P68" s="5" t="s">
        <v>29</v>
      </c>
      <c r="Q68" s="5" t="s">
        <v>22</v>
      </c>
      <c r="R68" s="5">
        <v>72</v>
      </c>
      <c r="S68" s="5">
        <v>5</v>
      </c>
    </row>
    <row r="69" spans="1:19">
      <c r="A69" s="69">
        <v>45869</v>
      </c>
      <c r="B69" t="s">
        <v>187</v>
      </c>
      <c r="C69" s="11">
        <v>68</v>
      </c>
      <c r="D69" s="74" t="s">
        <v>80</v>
      </c>
      <c r="E69" s="75" t="s">
        <v>94</v>
      </c>
      <c r="F69" s="76"/>
      <c r="G69" s="77" t="s">
        <v>124</v>
      </c>
      <c r="H69" s="78"/>
      <c r="I69" s="74"/>
      <c r="J69" s="74"/>
      <c r="K69" s="74"/>
      <c r="L69" s="78"/>
      <c r="M69" s="74"/>
      <c r="N69" s="74"/>
      <c r="O69" s="74"/>
      <c r="P69" s="74"/>
      <c r="Q69" s="74"/>
      <c r="R69" s="74"/>
      <c r="S69" s="74"/>
    </row>
    <row r="70" spans="1:19">
      <c r="C70" s="11">
        <v>69</v>
      </c>
      <c r="D70" s="5" t="s">
        <v>80</v>
      </c>
      <c r="E70" s="13" t="s">
        <v>94</v>
      </c>
      <c r="F70" s="7" t="s">
        <v>203</v>
      </c>
      <c r="G70" s="3" t="s">
        <v>126</v>
      </c>
      <c r="H70" s="8"/>
      <c r="I70" s="5"/>
      <c r="J70" s="5"/>
      <c r="K70" s="5"/>
      <c r="L70" s="8" t="s">
        <v>28</v>
      </c>
      <c r="M70" s="5" t="s">
        <v>34</v>
      </c>
      <c r="N70" s="5" t="s">
        <v>25</v>
      </c>
      <c r="O70" s="5">
        <v>5</v>
      </c>
      <c r="P70" s="5" t="s">
        <v>29</v>
      </c>
      <c r="Q70" s="5" t="s">
        <v>25</v>
      </c>
      <c r="R70" s="5">
        <v>75</v>
      </c>
      <c r="S70" s="5">
        <v>5</v>
      </c>
    </row>
    <row r="71" spans="1:19">
      <c r="A71" s="69">
        <v>45838</v>
      </c>
      <c r="B71" t="s">
        <v>187</v>
      </c>
      <c r="C71" s="11">
        <v>70</v>
      </c>
      <c r="D71" s="74" t="s">
        <v>80</v>
      </c>
      <c r="E71" s="75" t="s">
        <v>94</v>
      </c>
      <c r="F71" s="76"/>
      <c r="G71" s="77" t="s">
        <v>127</v>
      </c>
      <c r="H71" s="78"/>
      <c r="I71" s="74"/>
      <c r="J71" s="74"/>
      <c r="K71" s="74"/>
      <c r="L71" s="78"/>
      <c r="M71" s="74"/>
      <c r="N71" s="74"/>
      <c r="O71" s="74"/>
      <c r="P71" s="74"/>
      <c r="Q71" s="74"/>
      <c r="R71" s="74"/>
      <c r="S71" s="74"/>
    </row>
    <row r="72" spans="1:19">
      <c r="C72" s="11">
        <v>71</v>
      </c>
      <c r="D72" s="5" t="s">
        <v>80</v>
      </c>
      <c r="E72" s="13" t="s">
        <v>94</v>
      </c>
      <c r="F72" s="7" t="s">
        <v>203</v>
      </c>
      <c r="G72" s="3" t="s">
        <v>131</v>
      </c>
      <c r="H72" s="8"/>
      <c r="I72" s="5"/>
      <c r="J72" s="5"/>
      <c r="K72" s="5"/>
      <c r="L72" s="8" t="s">
        <v>28</v>
      </c>
      <c r="M72" s="5" t="s">
        <v>34</v>
      </c>
      <c r="N72" s="5" t="s">
        <v>19</v>
      </c>
      <c r="O72" s="5">
        <v>5</v>
      </c>
      <c r="P72" s="5" t="s">
        <v>29</v>
      </c>
      <c r="Q72" s="5" t="s">
        <v>18</v>
      </c>
      <c r="R72" s="5">
        <v>70</v>
      </c>
      <c r="S72" s="5">
        <v>5</v>
      </c>
    </row>
    <row r="73" spans="1:19">
      <c r="A73" s="69">
        <v>45778</v>
      </c>
      <c r="B73" t="s">
        <v>189</v>
      </c>
      <c r="C73" s="11">
        <v>72</v>
      </c>
      <c r="D73" s="5" t="s">
        <v>80</v>
      </c>
      <c r="E73" s="13" t="s">
        <v>94</v>
      </c>
      <c r="F73" s="7" t="s">
        <v>203</v>
      </c>
      <c r="G73" s="3" t="s">
        <v>81</v>
      </c>
      <c r="H73" s="8" t="s">
        <v>28</v>
      </c>
      <c r="I73" s="5" t="s">
        <v>30</v>
      </c>
      <c r="J73" s="5" t="s">
        <v>193</v>
      </c>
      <c r="K73" s="5">
        <v>2</v>
      </c>
      <c r="L73" s="8" t="s">
        <v>28</v>
      </c>
      <c r="M73" s="5" t="s">
        <v>34</v>
      </c>
      <c r="N73" s="5" t="s">
        <v>19</v>
      </c>
      <c r="O73" s="5">
        <v>3</v>
      </c>
      <c r="P73" s="5" t="s">
        <v>29</v>
      </c>
      <c r="Q73" s="5" t="s">
        <v>18</v>
      </c>
      <c r="R73" s="5">
        <v>70</v>
      </c>
      <c r="S73" s="5">
        <v>5</v>
      </c>
    </row>
    <row r="74" spans="1:19">
      <c r="A74" s="69">
        <v>45778</v>
      </c>
      <c r="B74" t="s">
        <v>189</v>
      </c>
      <c r="C74" s="11">
        <v>73</v>
      </c>
      <c r="D74" s="5" t="s">
        <v>80</v>
      </c>
      <c r="E74" s="13" t="s">
        <v>94</v>
      </c>
      <c r="F74" s="7" t="s">
        <v>203</v>
      </c>
      <c r="G74" s="3" t="s">
        <v>82</v>
      </c>
      <c r="H74" s="8"/>
      <c r="I74" s="5"/>
      <c r="J74" s="5" t="s">
        <v>192</v>
      </c>
      <c r="K74" s="5">
        <v>2</v>
      </c>
      <c r="L74" s="8" t="s">
        <v>28</v>
      </c>
      <c r="M74" s="5" t="s">
        <v>34</v>
      </c>
      <c r="N74" s="5" t="s">
        <v>22</v>
      </c>
      <c r="O74" s="5">
        <v>3</v>
      </c>
      <c r="P74" s="5" t="s">
        <v>29</v>
      </c>
      <c r="Q74" s="5" t="s">
        <v>19</v>
      </c>
      <c r="R74" s="5">
        <v>72</v>
      </c>
      <c r="S74" s="5">
        <v>5</v>
      </c>
    </row>
    <row r="75" spans="1:19">
      <c r="C75" s="11">
        <v>74</v>
      </c>
      <c r="D75" s="5" t="s">
        <v>80</v>
      </c>
      <c r="E75" s="13" t="s">
        <v>94</v>
      </c>
      <c r="F75" s="7" t="s">
        <v>203</v>
      </c>
      <c r="G75" s="3" t="s">
        <v>128</v>
      </c>
      <c r="H75" s="8" t="s">
        <v>28</v>
      </c>
      <c r="I75" s="5" t="s">
        <v>30</v>
      </c>
      <c r="J75" s="5" t="s">
        <v>19</v>
      </c>
      <c r="K75" s="5">
        <v>2</v>
      </c>
      <c r="L75" s="8" t="s">
        <v>28</v>
      </c>
      <c r="M75" s="5" t="s">
        <v>34</v>
      </c>
      <c r="N75" s="5" t="s">
        <v>19</v>
      </c>
      <c r="O75" s="5">
        <v>3</v>
      </c>
      <c r="P75" s="5" t="s">
        <v>29</v>
      </c>
      <c r="Q75" s="5" t="s">
        <v>18</v>
      </c>
      <c r="R75" s="5">
        <v>70</v>
      </c>
      <c r="S75" s="5">
        <v>5</v>
      </c>
    </row>
    <row r="76" spans="1:19">
      <c r="C76" s="11">
        <v>75</v>
      </c>
      <c r="D76" s="5" t="s">
        <v>80</v>
      </c>
      <c r="E76" s="13" t="s">
        <v>94</v>
      </c>
      <c r="F76" s="7" t="s">
        <v>203</v>
      </c>
      <c r="G76" s="3" t="s">
        <v>134</v>
      </c>
      <c r="H76" s="8" t="s">
        <v>28</v>
      </c>
      <c r="I76" s="5" t="s">
        <v>30</v>
      </c>
      <c r="J76" s="5" t="s">
        <v>19</v>
      </c>
      <c r="K76" s="5">
        <v>2</v>
      </c>
      <c r="L76" s="8" t="s">
        <v>28</v>
      </c>
      <c r="M76" s="5" t="s">
        <v>34</v>
      </c>
      <c r="N76" s="5" t="s">
        <v>19</v>
      </c>
      <c r="O76" s="5">
        <v>3</v>
      </c>
      <c r="P76" s="5" t="s">
        <v>29</v>
      </c>
      <c r="Q76" s="5" t="s">
        <v>18</v>
      </c>
      <c r="R76" s="5">
        <v>69</v>
      </c>
      <c r="S76" s="5">
        <v>5</v>
      </c>
    </row>
    <row r="77" spans="1:19">
      <c r="C77" s="11">
        <v>76</v>
      </c>
      <c r="D77" s="5" t="s">
        <v>80</v>
      </c>
      <c r="E77" s="7" t="s">
        <v>94</v>
      </c>
      <c r="F77" s="7" t="s">
        <v>203</v>
      </c>
      <c r="G77" s="3" t="s">
        <v>137</v>
      </c>
      <c r="H77" s="8" t="s">
        <v>28</v>
      </c>
      <c r="I77" s="5" t="s">
        <v>30</v>
      </c>
      <c r="J77" s="5" t="s">
        <v>22</v>
      </c>
      <c r="K77" s="5">
        <v>2</v>
      </c>
      <c r="L77" s="8" t="s">
        <v>28</v>
      </c>
      <c r="M77" s="5" t="s">
        <v>34</v>
      </c>
      <c r="N77" s="5" t="s">
        <v>19</v>
      </c>
      <c r="O77" s="5">
        <v>3</v>
      </c>
      <c r="P77" s="5" t="s">
        <v>29</v>
      </c>
      <c r="Q77" s="5" t="s">
        <v>18</v>
      </c>
      <c r="R77" s="5">
        <v>68</v>
      </c>
      <c r="S77" s="5">
        <v>5</v>
      </c>
    </row>
    <row r="78" spans="1:19">
      <c r="C78" s="11">
        <v>77</v>
      </c>
      <c r="D78" s="5" t="s">
        <v>80</v>
      </c>
      <c r="E78" s="13" t="s">
        <v>94</v>
      </c>
      <c r="F78" s="7" t="s">
        <v>203</v>
      </c>
      <c r="G78" s="3" t="s">
        <v>125</v>
      </c>
      <c r="H78" s="8" t="s">
        <v>28</v>
      </c>
      <c r="I78" s="5" t="s">
        <v>30</v>
      </c>
      <c r="J78" s="5" t="s">
        <v>194</v>
      </c>
      <c r="K78" s="5">
        <v>4</v>
      </c>
      <c r="L78" s="8" t="s">
        <v>28</v>
      </c>
      <c r="M78" s="5" t="s">
        <v>34</v>
      </c>
      <c r="N78" s="5" t="s">
        <v>33</v>
      </c>
      <c r="O78" s="5">
        <v>1</v>
      </c>
      <c r="P78" s="5" t="s">
        <v>29</v>
      </c>
      <c r="Q78" s="5" t="s">
        <v>33</v>
      </c>
      <c r="R78" s="5">
        <v>80</v>
      </c>
      <c r="S78" s="5">
        <v>5</v>
      </c>
    </row>
    <row r="79" spans="1:19">
      <c r="A79" s="69"/>
      <c r="C79" s="11">
        <v>78</v>
      </c>
      <c r="D79" s="5"/>
      <c r="E79" s="7"/>
      <c r="F79" s="7"/>
      <c r="G79" s="3"/>
      <c r="H79" s="8"/>
      <c r="I79" s="5"/>
      <c r="J79" s="5"/>
      <c r="K79" s="5"/>
      <c r="L79" s="8"/>
      <c r="M79" s="5"/>
      <c r="N79" s="5"/>
      <c r="O79" s="5"/>
      <c r="P79" s="5"/>
      <c r="Q79" s="5"/>
      <c r="R79" s="5"/>
      <c r="S79" s="5"/>
    </row>
    <row r="80" spans="1:19">
      <c r="C80" s="11">
        <v>79</v>
      </c>
      <c r="D80" s="5" t="s">
        <v>80</v>
      </c>
      <c r="E80" s="13" t="s">
        <v>94</v>
      </c>
      <c r="F80" s="7" t="s">
        <v>204</v>
      </c>
      <c r="G80" s="3" t="s">
        <v>129</v>
      </c>
      <c r="H80" s="8"/>
      <c r="I80" s="5"/>
      <c r="J80" s="5"/>
      <c r="K80" s="5"/>
      <c r="L80" s="8" t="s">
        <v>28</v>
      </c>
      <c r="M80" s="5" t="s">
        <v>34</v>
      </c>
      <c r="N80" s="5" t="s">
        <v>19</v>
      </c>
      <c r="O80" s="5">
        <v>4</v>
      </c>
      <c r="P80" s="5" t="s">
        <v>29</v>
      </c>
      <c r="Q80" s="5" t="s">
        <v>18</v>
      </c>
      <c r="R80" s="5">
        <v>80</v>
      </c>
      <c r="S80" s="5">
        <v>4</v>
      </c>
    </row>
    <row r="81" spans="1:20">
      <c r="A81" s="69">
        <v>45900</v>
      </c>
      <c r="B81" t="s">
        <v>187</v>
      </c>
      <c r="C81" s="11">
        <v>80</v>
      </c>
      <c r="D81" s="80" t="s">
        <v>80</v>
      </c>
      <c r="E81" s="81" t="s">
        <v>94</v>
      </c>
      <c r="F81" s="82"/>
      <c r="G81" s="83" t="s">
        <v>132</v>
      </c>
      <c r="H81" s="84"/>
      <c r="I81" s="80"/>
      <c r="J81" s="80"/>
      <c r="K81" s="80"/>
      <c r="L81" s="84"/>
      <c r="M81" s="80"/>
      <c r="N81" s="80"/>
      <c r="O81" s="80"/>
      <c r="P81" s="80"/>
      <c r="Q81" s="80"/>
      <c r="R81" s="80"/>
      <c r="S81" s="80"/>
    </row>
    <row r="82" spans="1:20">
      <c r="C82" s="11">
        <v>81</v>
      </c>
      <c r="D82" s="5" t="s">
        <v>80</v>
      </c>
      <c r="E82" s="13" t="s">
        <v>94</v>
      </c>
      <c r="F82" s="7" t="s">
        <v>204</v>
      </c>
      <c r="G82" s="3" t="s">
        <v>135</v>
      </c>
      <c r="H82" s="8" t="s">
        <v>28</v>
      </c>
      <c r="I82" s="5" t="s">
        <v>30</v>
      </c>
      <c r="J82" s="5" t="s">
        <v>22</v>
      </c>
      <c r="K82" s="5">
        <v>2</v>
      </c>
      <c r="L82" s="8" t="s">
        <v>28</v>
      </c>
      <c r="M82" s="5" t="s">
        <v>34</v>
      </c>
      <c r="N82" s="5" t="s">
        <v>19</v>
      </c>
      <c r="O82" s="5">
        <v>2</v>
      </c>
      <c r="P82" s="5" t="s">
        <v>29</v>
      </c>
      <c r="Q82" s="5" t="s">
        <v>19</v>
      </c>
      <c r="R82" s="5" t="s">
        <v>136</v>
      </c>
      <c r="S82" s="5">
        <v>4</v>
      </c>
    </row>
    <row r="83" spans="1:20">
      <c r="A83" s="69">
        <v>45916</v>
      </c>
      <c r="B83" t="s">
        <v>227</v>
      </c>
      <c r="C83" s="11">
        <v>82</v>
      </c>
      <c r="D83" s="5" t="s">
        <v>80</v>
      </c>
      <c r="E83" s="13" t="s">
        <v>94</v>
      </c>
      <c r="F83" s="18" t="s">
        <v>231</v>
      </c>
      <c r="G83" s="3" t="s">
        <v>130</v>
      </c>
      <c r="H83" s="17" t="s">
        <v>41</v>
      </c>
      <c r="I83" s="5" t="s">
        <v>30</v>
      </c>
      <c r="J83" s="5" t="s">
        <v>43</v>
      </c>
      <c r="K83" s="5">
        <v>1</v>
      </c>
      <c r="L83" s="17" t="s">
        <v>41</v>
      </c>
      <c r="M83" s="5" t="s">
        <v>34</v>
      </c>
      <c r="N83" s="5" t="s">
        <v>43</v>
      </c>
      <c r="O83" s="5">
        <v>4</v>
      </c>
      <c r="P83" s="5" t="s">
        <v>29</v>
      </c>
      <c r="Q83" s="5" t="s">
        <v>35</v>
      </c>
      <c r="R83" s="5">
        <v>71</v>
      </c>
      <c r="S83" s="5">
        <v>5</v>
      </c>
      <c r="T83" t="s">
        <v>244</v>
      </c>
    </row>
    <row r="84" spans="1:20">
      <c r="A84" s="69">
        <v>45823</v>
      </c>
      <c r="B84" t="s">
        <v>187</v>
      </c>
      <c r="C84" s="11">
        <v>83</v>
      </c>
      <c r="D84" s="74" t="s">
        <v>80</v>
      </c>
      <c r="E84" s="75" t="s">
        <v>94</v>
      </c>
      <c r="F84" s="76"/>
      <c r="G84" s="77" t="s">
        <v>133</v>
      </c>
      <c r="H84" s="78"/>
      <c r="I84" s="74"/>
      <c r="J84" s="74"/>
      <c r="K84" s="74"/>
      <c r="L84" s="78"/>
      <c r="M84" s="74"/>
      <c r="N84" s="74"/>
      <c r="O84" s="74"/>
      <c r="P84" s="74"/>
      <c r="Q84" s="74"/>
      <c r="R84" s="74"/>
      <c r="S84" s="74"/>
    </row>
    <row r="85" spans="1:20">
      <c r="A85" s="69">
        <v>45778</v>
      </c>
      <c r="B85" t="s">
        <v>183</v>
      </c>
      <c r="C85" s="11">
        <v>84</v>
      </c>
      <c r="D85" s="5" t="s">
        <v>80</v>
      </c>
      <c r="E85" s="13" t="s">
        <v>94</v>
      </c>
      <c r="F85" s="7" t="s">
        <v>204</v>
      </c>
      <c r="G85" s="3" t="s">
        <v>191</v>
      </c>
      <c r="H85" s="8" t="s">
        <v>28</v>
      </c>
      <c r="I85" s="5" t="s">
        <v>30</v>
      </c>
      <c r="J85" s="5" t="s">
        <v>27</v>
      </c>
      <c r="K85" s="5">
        <v>2</v>
      </c>
      <c r="L85" s="8" t="s">
        <v>28</v>
      </c>
      <c r="M85" s="5" t="s">
        <v>34</v>
      </c>
      <c r="N85" s="5" t="s">
        <v>192</v>
      </c>
      <c r="O85" s="5">
        <v>2</v>
      </c>
      <c r="P85" s="5" t="s">
        <v>29</v>
      </c>
      <c r="Q85" s="5" t="s">
        <v>19</v>
      </c>
      <c r="R85" s="5">
        <v>70</v>
      </c>
      <c r="S85" s="5">
        <v>4</v>
      </c>
    </row>
    <row r="86" spans="1:20">
      <c r="A86" s="69">
        <v>45916</v>
      </c>
      <c r="B86" t="s">
        <v>243</v>
      </c>
      <c r="C86" s="11">
        <v>85</v>
      </c>
      <c r="D86" s="5" t="s">
        <v>80</v>
      </c>
      <c r="E86" s="7" t="s">
        <v>94</v>
      </c>
      <c r="F86" s="7" t="s">
        <v>242</v>
      </c>
      <c r="G86" s="3" t="s">
        <v>138</v>
      </c>
      <c r="H86" s="8"/>
      <c r="I86" s="5"/>
      <c r="J86" s="5"/>
      <c r="K86" s="5"/>
      <c r="L86" s="8" t="s">
        <v>28</v>
      </c>
      <c r="M86" s="5" t="s">
        <v>34</v>
      </c>
      <c r="N86" s="5" t="s">
        <v>25</v>
      </c>
      <c r="O86" s="5">
        <v>2</v>
      </c>
      <c r="P86" s="5" t="s">
        <v>29</v>
      </c>
      <c r="Q86" s="5" t="s">
        <v>23</v>
      </c>
      <c r="R86" s="5">
        <v>65</v>
      </c>
      <c r="S86" s="5">
        <v>2</v>
      </c>
    </row>
    <row r="87" spans="1:20">
      <c r="A87" s="69">
        <v>45775</v>
      </c>
      <c r="B87" t="s">
        <v>229</v>
      </c>
      <c r="C87" s="11">
        <v>86</v>
      </c>
      <c r="D87" s="5" t="s">
        <v>80</v>
      </c>
      <c r="E87" s="7" t="s">
        <v>94</v>
      </c>
      <c r="F87" s="7" t="s">
        <v>206</v>
      </c>
      <c r="G87" s="3" t="s">
        <v>230</v>
      </c>
      <c r="H87" s="8"/>
      <c r="I87" s="5"/>
      <c r="J87" s="5"/>
      <c r="K87" s="5"/>
      <c r="L87" s="8" t="s">
        <v>28</v>
      </c>
      <c r="M87" s="5" t="s">
        <v>34</v>
      </c>
      <c r="N87" s="5" t="s">
        <v>40</v>
      </c>
      <c r="O87" s="5">
        <v>2</v>
      </c>
      <c r="P87" s="5" t="s">
        <v>29</v>
      </c>
      <c r="Q87" s="5" t="s">
        <v>228</v>
      </c>
      <c r="R87" s="5">
        <v>70</v>
      </c>
      <c r="S87" s="5">
        <v>2</v>
      </c>
    </row>
    <row r="88" spans="1:20">
      <c r="A88" s="69">
        <v>45824</v>
      </c>
      <c r="B88" t="s">
        <v>189</v>
      </c>
      <c r="C88" s="11">
        <v>87</v>
      </c>
      <c r="D88" s="5" t="s">
        <v>55</v>
      </c>
      <c r="E88" s="7" t="s">
        <v>94</v>
      </c>
      <c r="F88" s="7" t="s">
        <v>203</v>
      </c>
      <c r="G88" s="3" t="s">
        <v>59</v>
      </c>
      <c r="H88" s="8"/>
      <c r="I88" s="5"/>
      <c r="J88" s="5"/>
      <c r="K88" s="5"/>
      <c r="L88" s="8" t="s">
        <v>28</v>
      </c>
      <c r="M88" s="5" t="s">
        <v>34</v>
      </c>
      <c r="N88" s="5" t="s">
        <v>40</v>
      </c>
      <c r="O88" s="5">
        <v>5</v>
      </c>
      <c r="P88" s="5" t="s">
        <v>57</v>
      </c>
      <c r="Q88" s="5" t="s">
        <v>27</v>
      </c>
      <c r="R88" s="5">
        <v>72</v>
      </c>
      <c r="S88" s="5">
        <v>5</v>
      </c>
    </row>
    <row r="89" spans="1:20">
      <c r="A89" s="69">
        <v>45839</v>
      </c>
      <c r="B89" t="s">
        <v>189</v>
      </c>
      <c r="C89" s="11">
        <v>88</v>
      </c>
      <c r="D89" s="5" t="s">
        <v>55</v>
      </c>
      <c r="E89" s="7" t="s">
        <v>94</v>
      </c>
      <c r="F89" s="7" t="s">
        <v>204</v>
      </c>
      <c r="G89" s="3" t="s">
        <v>61</v>
      </c>
      <c r="H89" s="8" t="s">
        <v>28</v>
      </c>
      <c r="I89" s="5" t="s">
        <v>30</v>
      </c>
      <c r="J89" s="5" t="s">
        <v>14</v>
      </c>
      <c r="K89" s="5">
        <v>3</v>
      </c>
      <c r="L89" s="8" t="s">
        <v>28</v>
      </c>
      <c r="M89" s="5" t="s">
        <v>34</v>
      </c>
      <c r="N89" s="5" t="s">
        <v>14</v>
      </c>
      <c r="O89" s="5">
        <v>1</v>
      </c>
      <c r="P89" s="5" t="s">
        <v>57</v>
      </c>
      <c r="Q89" s="5" t="s">
        <v>16</v>
      </c>
      <c r="R89" s="5">
        <v>78</v>
      </c>
      <c r="S89" s="5">
        <v>4</v>
      </c>
    </row>
    <row r="90" spans="1:20">
      <c r="A90" s="69">
        <v>45839</v>
      </c>
      <c r="B90" t="s">
        <v>189</v>
      </c>
      <c r="C90" s="11">
        <v>89</v>
      </c>
      <c r="D90" s="5" t="s">
        <v>55</v>
      </c>
      <c r="E90" s="7" t="s">
        <v>94</v>
      </c>
      <c r="F90" s="7" t="s">
        <v>203</v>
      </c>
      <c r="G90" s="3" t="s">
        <v>62</v>
      </c>
      <c r="H90" s="8" t="s">
        <v>28</v>
      </c>
      <c r="I90" s="5" t="s">
        <v>30</v>
      </c>
      <c r="J90" s="5" t="s">
        <v>49</v>
      </c>
      <c r="K90" s="5">
        <v>2</v>
      </c>
      <c r="L90" s="8" t="s">
        <v>28</v>
      </c>
      <c r="M90" s="5" t="s">
        <v>34</v>
      </c>
      <c r="N90" s="5" t="s">
        <v>49</v>
      </c>
      <c r="O90" s="5">
        <v>3</v>
      </c>
      <c r="P90" s="5" t="s">
        <v>57</v>
      </c>
      <c r="Q90" s="5" t="s">
        <v>32</v>
      </c>
      <c r="R90" s="5">
        <v>72</v>
      </c>
      <c r="S90" s="5">
        <v>5</v>
      </c>
    </row>
    <row r="91" spans="1:20">
      <c r="A91" s="69">
        <v>45839</v>
      </c>
      <c r="B91" t="s">
        <v>189</v>
      </c>
      <c r="C91" s="11">
        <v>90</v>
      </c>
      <c r="D91" s="5" t="s">
        <v>55</v>
      </c>
      <c r="E91" s="7" t="s">
        <v>94</v>
      </c>
      <c r="F91" s="7" t="s">
        <v>204</v>
      </c>
      <c r="G91" s="3" t="s">
        <v>63</v>
      </c>
      <c r="H91" s="8"/>
      <c r="I91" s="5"/>
      <c r="J91" s="5"/>
      <c r="K91" s="5"/>
      <c r="L91" s="8" t="s">
        <v>28</v>
      </c>
      <c r="M91" s="5" t="s">
        <v>34</v>
      </c>
      <c r="N91" s="5" t="s">
        <v>16</v>
      </c>
      <c r="O91" s="5">
        <v>4</v>
      </c>
      <c r="P91" s="5" t="s">
        <v>57</v>
      </c>
      <c r="Q91" s="5" t="s">
        <v>16</v>
      </c>
      <c r="R91" s="5">
        <v>70</v>
      </c>
      <c r="S91" s="5">
        <v>4</v>
      </c>
    </row>
    <row r="92" spans="1:20">
      <c r="A92" s="69">
        <v>45839</v>
      </c>
      <c r="B92" t="s">
        <v>189</v>
      </c>
      <c r="C92" s="11">
        <v>91</v>
      </c>
      <c r="D92" s="5" t="s">
        <v>80</v>
      </c>
      <c r="E92" s="7" t="s">
        <v>94</v>
      </c>
      <c r="F92" s="7" t="s">
        <v>203</v>
      </c>
      <c r="G92" s="3" t="s">
        <v>121</v>
      </c>
      <c r="H92" s="8" t="s">
        <v>28</v>
      </c>
      <c r="I92" s="5" t="s">
        <v>30</v>
      </c>
      <c r="J92" s="5" t="s">
        <v>22</v>
      </c>
      <c r="K92" s="5">
        <v>2</v>
      </c>
      <c r="L92" s="8" t="s">
        <v>28</v>
      </c>
      <c r="M92" s="5" t="s">
        <v>34</v>
      </c>
      <c r="N92" s="5" t="s">
        <v>22</v>
      </c>
      <c r="O92" s="5">
        <v>3</v>
      </c>
      <c r="P92" s="5" t="s">
        <v>29</v>
      </c>
      <c r="Q92" s="5" t="s">
        <v>19</v>
      </c>
      <c r="R92" s="5">
        <v>75</v>
      </c>
      <c r="S92" s="5">
        <v>5</v>
      </c>
    </row>
    <row r="93" spans="1:20">
      <c r="A93" s="69">
        <v>46038</v>
      </c>
      <c r="B93" t="s">
        <v>226</v>
      </c>
      <c r="C93" s="11">
        <v>92</v>
      </c>
      <c r="D93" s="5" t="s">
        <v>55</v>
      </c>
      <c r="E93" s="7" t="s">
        <v>94</v>
      </c>
      <c r="F93" s="7" t="s">
        <v>271</v>
      </c>
      <c r="G93" s="3" t="s">
        <v>60</v>
      </c>
      <c r="H93" s="8" t="s">
        <v>28</v>
      </c>
      <c r="I93" s="5" t="s">
        <v>30</v>
      </c>
      <c r="J93" s="5" t="s">
        <v>49</v>
      </c>
      <c r="K93" s="5">
        <v>2</v>
      </c>
      <c r="L93" s="8" t="s">
        <v>28</v>
      </c>
      <c r="M93" s="5" t="s">
        <v>34</v>
      </c>
      <c r="N93" s="5" t="s">
        <v>25</v>
      </c>
      <c r="O93" s="5">
        <v>2</v>
      </c>
      <c r="P93" s="5" t="s">
        <v>57</v>
      </c>
      <c r="Q93" s="5" t="s">
        <v>32</v>
      </c>
      <c r="R93" s="5">
        <v>66</v>
      </c>
      <c r="S93" s="5">
        <v>4</v>
      </c>
      <c r="T93" t="s">
        <v>272</v>
      </c>
    </row>
    <row r="94" spans="1:20">
      <c r="A94" s="69"/>
      <c r="C94" s="11">
        <v>93</v>
      </c>
      <c r="D94" s="5"/>
      <c r="E94" s="13"/>
      <c r="F94" s="7"/>
      <c r="G94" s="3"/>
      <c r="H94" s="8"/>
      <c r="I94" s="5"/>
      <c r="J94" s="5"/>
      <c r="K94" s="5"/>
      <c r="L94" s="8"/>
      <c r="M94" s="5"/>
      <c r="N94" s="5"/>
      <c r="O94" s="5"/>
      <c r="P94" s="5"/>
      <c r="Q94" s="5"/>
      <c r="R94" s="5"/>
      <c r="S94" s="5"/>
    </row>
    <row r="95" spans="1:20">
      <c r="C95" s="11">
        <v>94</v>
      </c>
      <c r="D95" s="3" t="s">
        <v>69</v>
      </c>
      <c r="E95" s="4" t="s">
        <v>225</v>
      </c>
      <c r="F95" s="4" t="s">
        <v>200</v>
      </c>
      <c r="G95" s="3" t="s">
        <v>149</v>
      </c>
      <c r="H95" s="5" t="s">
        <v>13</v>
      </c>
      <c r="I95" s="5"/>
      <c r="J95" s="5" t="s">
        <v>18</v>
      </c>
      <c r="K95" s="5">
        <v>5</v>
      </c>
      <c r="L95" s="5"/>
      <c r="M95" s="5"/>
      <c r="N95" s="5"/>
      <c r="O95" s="5"/>
      <c r="P95" s="5" t="s">
        <v>20</v>
      </c>
      <c r="Q95" s="5" t="s">
        <v>18</v>
      </c>
      <c r="R95" s="5">
        <v>70</v>
      </c>
      <c r="S95" s="5">
        <v>5</v>
      </c>
    </row>
    <row r="96" spans="1:20">
      <c r="C96" s="11">
        <v>95</v>
      </c>
      <c r="D96" s="3" t="s">
        <v>69</v>
      </c>
      <c r="E96" s="4" t="s">
        <v>225</v>
      </c>
      <c r="F96" s="4" t="s">
        <v>200</v>
      </c>
      <c r="G96" s="3" t="s">
        <v>150</v>
      </c>
      <c r="H96" s="5" t="s">
        <v>13</v>
      </c>
      <c r="I96" s="5"/>
      <c r="J96" s="5" t="s">
        <v>19</v>
      </c>
      <c r="K96" s="5">
        <v>5</v>
      </c>
      <c r="L96" s="5"/>
      <c r="M96" s="5"/>
      <c r="N96" s="5"/>
      <c r="O96" s="5"/>
      <c r="P96" s="5" t="s">
        <v>20</v>
      </c>
      <c r="Q96" s="5" t="s">
        <v>19</v>
      </c>
      <c r="R96" s="5">
        <v>70</v>
      </c>
      <c r="S96" s="5">
        <v>5</v>
      </c>
    </row>
    <row r="97" spans="1:23">
      <c r="C97" s="11">
        <v>96</v>
      </c>
      <c r="D97" s="3" t="s">
        <v>69</v>
      </c>
      <c r="E97" s="4" t="s">
        <v>225</v>
      </c>
      <c r="F97" s="4" t="s">
        <v>200</v>
      </c>
      <c r="G97" s="3" t="s">
        <v>151</v>
      </c>
      <c r="H97" s="5" t="s">
        <v>13</v>
      </c>
      <c r="I97" s="5"/>
      <c r="J97" s="5" t="s">
        <v>23</v>
      </c>
      <c r="K97" s="5">
        <v>5</v>
      </c>
      <c r="L97" s="5"/>
      <c r="M97" s="5"/>
      <c r="N97" s="5"/>
      <c r="O97" s="5"/>
      <c r="P97" s="5" t="s">
        <v>20</v>
      </c>
      <c r="Q97" s="5" t="s">
        <v>23</v>
      </c>
      <c r="R97" s="5">
        <v>70</v>
      </c>
      <c r="S97" s="5">
        <v>5</v>
      </c>
    </row>
    <row r="98" spans="1:23">
      <c r="A98" s="69">
        <v>45910</v>
      </c>
      <c r="B98" t="s">
        <v>250</v>
      </c>
      <c r="C98" s="11">
        <v>97</v>
      </c>
      <c r="D98" s="87" t="s">
        <v>69</v>
      </c>
      <c r="E98" s="88" t="s">
        <v>225</v>
      </c>
      <c r="F98" s="88"/>
      <c r="G98" s="87" t="s">
        <v>152</v>
      </c>
      <c r="H98" s="89" t="s">
        <v>13</v>
      </c>
      <c r="I98" s="89"/>
      <c r="J98" s="89" t="s">
        <v>18</v>
      </c>
      <c r="K98" s="89">
        <v>5</v>
      </c>
      <c r="L98" s="89"/>
      <c r="M98" s="89"/>
      <c r="N98" s="89"/>
      <c r="O98" s="89"/>
      <c r="P98" s="89" t="s">
        <v>20</v>
      </c>
      <c r="Q98" s="89" t="s">
        <v>18</v>
      </c>
      <c r="R98" s="89">
        <v>71</v>
      </c>
      <c r="S98" s="89">
        <v>5</v>
      </c>
      <c r="T98" t="s">
        <v>251</v>
      </c>
    </row>
    <row r="99" spans="1:23">
      <c r="A99" s="69">
        <v>45962</v>
      </c>
      <c r="B99" t="s">
        <v>252</v>
      </c>
      <c r="C99" s="11">
        <v>98</v>
      </c>
      <c r="D99" s="5" t="s">
        <v>80</v>
      </c>
      <c r="E99" s="7" t="s">
        <v>156</v>
      </c>
      <c r="F99" s="4" t="s">
        <v>253</v>
      </c>
      <c r="G99" s="3" t="s">
        <v>254</v>
      </c>
      <c r="H99" s="5" t="s">
        <v>255</v>
      </c>
      <c r="I99" s="5" t="s">
        <v>30</v>
      </c>
      <c r="J99" s="5" t="s">
        <v>256</v>
      </c>
      <c r="K99" s="5">
        <v>3</v>
      </c>
      <c r="L99" s="5" t="s">
        <v>255</v>
      </c>
      <c r="M99" s="5" t="s">
        <v>34</v>
      </c>
      <c r="N99" s="5" t="s">
        <v>256</v>
      </c>
      <c r="O99" s="5">
        <v>2</v>
      </c>
      <c r="P99" s="5" t="s">
        <v>257</v>
      </c>
      <c r="Q99" s="5" t="s">
        <v>258</v>
      </c>
      <c r="R99" s="5">
        <v>75</v>
      </c>
      <c r="S99" s="5">
        <v>5</v>
      </c>
    </row>
    <row r="100" spans="1:23">
      <c r="A100" s="50">
        <v>46022</v>
      </c>
      <c r="B100" s="91" t="s">
        <v>187</v>
      </c>
      <c r="C100" s="11">
        <v>99</v>
      </c>
      <c r="D100" s="80" t="s">
        <v>80</v>
      </c>
      <c r="E100" s="82" t="s">
        <v>156</v>
      </c>
      <c r="F100" s="82"/>
      <c r="G100" s="80" t="s">
        <v>154</v>
      </c>
      <c r="H100" s="84"/>
      <c r="I100" s="80"/>
      <c r="J100" s="80"/>
      <c r="K100" s="80"/>
      <c r="L100" s="84"/>
      <c r="M100" s="80"/>
      <c r="N100" s="80"/>
      <c r="O100" s="80"/>
      <c r="P100" s="80"/>
      <c r="Q100" s="80"/>
      <c r="R100" s="80"/>
      <c r="S100" s="80"/>
      <c r="T100" s="3" t="s">
        <v>153</v>
      </c>
    </row>
    <row r="101" spans="1:23">
      <c r="C101" s="11">
        <v>100</v>
      </c>
      <c r="D101" s="5" t="s">
        <v>80</v>
      </c>
      <c r="E101" s="7" t="s">
        <v>156</v>
      </c>
      <c r="F101" s="7" t="s">
        <v>203</v>
      </c>
      <c r="G101" s="3" t="s">
        <v>155</v>
      </c>
      <c r="H101" s="8" t="s">
        <v>28</v>
      </c>
      <c r="I101" s="5" t="s">
        <v>30</v>
      </c>
      <c r="J101" s="5" t="s">
        <v>22</v>
      </c>
      <c r="K101" s="5">
        <v>3</v>
      </c>
      <c r="L101" s="8" t="s">
        <v>28</v>
      </c>
      <c r="M101" s="5" t="s">
        <v>34</v>
      </c>
      <c r="N101" s="5" t="s">
        <v>192</v>
      </c>
      <c r="O101" s="5">
        <v>2</v>
      </c>
      <c r="P101" s="5" t="s">
        <v>29</v>
      </c>
      <c r="Q101" s="5" t="s">
        <v>19</v>
      </c>
      <c r="R101" s="5">
        <v>72</v>
      </c>
      <c r="S101" s="5">
        <v>5</v>
      </c>
      <c r="T101" s="7" t="s">
        <v>147</v>
      </c>
    </row>
    <row r="102" spans="1:23">
      <c r="C102" s="11">
        <v>101</v>
      </c>
      <c r="D102" s="5" t="s">
        <v>80</v>
      </c>
      <c r="E102" s="7" t="s">
        <v>156</v>
      </c>
      <c r="F102" s="7" t="s">
        <v>203</v>
      </c>
      <c r="G102" s="3" t="s">
        <v>157</v>
      </c>
      <c r="H102" s="8" t="s">
        <v>28</v>
      </c>
      <c r="I102" s="5" t="s">
        <v>30</v>
      </c>
      <c r="J102" s="5" t="s">
        <v>18</v>
      </c>
      <c r="K102" s="5">
        <v>3</v>
      </c>
      <c r="L102" s="8" t="s">
        <v>28</v>
      </c>
      <c r="M102" s="5" t="s">
        <v>34</v>
      </c>
      <c r="N102" s="5" t="s">
        <v>18</v>
      </c>
      <c r="O102" s="5">
        <v>2</v>
      </c>
      <c r="P102" s="5" t="s">
        <v>29</v>
      </c>
      <c r="Q102" s="4" t="s">
        <v>23</v>
      </c>
      <c r="R102" s="5">
        <v>72</v>
      </c>
      <c r="S102" s="5">
        <v>5</v>
      </c>
    </row>
    <row r="103" spans="1:23">
      <c r="C103" s="11">
        <v>102</v>
      </c>
      <c r="D103" s="5" t="s">
        <v>80</v>
      </c>
      <c r="E103" s="7" t="s">
        <v>156</v>
      </c>
      <c r="F103" s="7" t="s">
        <v>203</v>
      </c>
      <c r="G103" s="3" t="s">
        <v>159</v>
      </c>
      <c r="H103" s="8" t="s">
        <v>28</v>
      </c>
      <c r="I103" s="5" t="s">
        <v>30</v>
      </c>
      <c r="J103" s="5" t="s">
        <v>19</v>
      </c>
      <c r="K103" s="5">
        <v>3</v>
      </c>
      <c r="L103" s="8" t="s">
        <v>28</v>
      </c>
      <c r="M103" s="5" t="s">
        <v>34</v>
      </c>
      <c r="N103" s="5" t="s">
        <v>19</v>
      </c>
      <c r="O103" s="5">
        <v>2</v>
      </c>
      <c r="P103" s="5" t="s">
        <v>29</v>
      </c>
      <c r="Q103" s="4" t="s">
        <v>25</v>
      </c>
      <c r="R103" s="5">
        <v>67</v>
      </c>
      <c r="S103" s="5">
        <v>5</v>
      </c>
    </row>
    <row r="104" spans="1:23">
      <c r="A104" s="50">
        <v>45992</v>
      </c>
      <c r="B104" s="91" t="s">
        <v>243</v>
      </c>
      <c r="C104" s="11">
        <v>103</v>
      </c>
      <c r="D104" s="5" t="s">
        <v>80</v>
      </c>
      <c r="E104" s="7" t="s">
        <v>156</v>
      </c>
      <c r="F104" s="7" t="s">
        <v>261</v>
      </c>
      <c r="G104" s="3" t="s">
        <v>158</v>
      </c>
      <c r="H104" s="8" t="s">
        <v>28</v>
      </c>
      <c r="I104" s="5" t="s">
        <v>30</v>
      </c>
      <c r="J104" s="5" t="s">
        <v>19</v>
      </c>
      <c r="K104" s="5">
        <v>2</v>
      </c>
      <c r="L104" s="8" t="s">
        <v>28</v>
      </c>
      <c r="M104" s="5" t="s">
        <v>34</v>
      </c>
      <c r="N104" s="5" t="s">
        <v>19</v>
      </c>
      <c r="O104" s="5">
        <v>3</v>
      </c>
      <c r="P104" s="5" t="s">
        <v>29</v>
      </c>
      <c r="Q104" s="4" t="s">
        <v>25</v>
      </c>
      <c r="R104" s="5">
        <v>70</v>
      </c>
      <c r="S104" s="5">
        <v>5</v>
      </c>
    </row>
    <row r="105" spans="1:23">
      <c r="C105" s="11">
        <v>104</v>
      </c>
      <c r="D105" s="5" t="s">
        <v>80</v>
      </c>
      <c r="E105" s="7" t="s">
        <v>156</v>
      </c>
      <c r="F105" s="7" t="s">
        <v>203</v>
      </c>
      <c r="G105" s="3" t="s">
        <v>160</v>
      </c>
      <c r="H105" s="8" t="s">
        <v>28</v>
      </c>
      <c r="I105" s="5" t="s">
        <v>30</v>
      </c>
      <c r="J105" s="5" t="s">
        <v>22</v>
      </c>
      <c r="K105" s="5">
        <v>2</v>
      </c>
      <c r="L105" s="8" t="s">
        <v>28</v>
      </c>
      <c r="M105" s="5" t="s">
        <v>34</v>
      </c>
      <c r="N105" s="5" t="s">
        <v>22</v>
      </c>
      <c r="O105" s="5">
        <v>3</v>
      </c>
      <c r="P105" s="5" t="s">
        <v>29</v>
      </c>
      <c r="Q105" s="5" t="s">
        <v>19</v>
      </c>
      <c r="R105" s="5">
        <v>73</v>
      </c>
      <c r="S105" s="5">
        <v>5</v>
      </c>
    </row>
    <row r="106" spans="1:23">
      <c r="A106" s="69">
        <v>46249</v>
      </c>
      <c r="B106" t="s">
        <v>187</v>
      </c>
      <c r="C106" s="92">
        <v>105</v>
      </c>
      <c r="D106" s="80" t="s">
        <v>80</v>
      </c>
      <c r="E106" s="82" t="s">
        <v>156</v>
      </c>
      <c r="F106" s="82"/>
      <c r="G106" s="83" t="s">
        <v>161</v>
      </c>
      <c r="H106" s="84"/>
      <c r="I106" s="80"/>
      <c r="J106" s="80"/>
      <c r="K106" s="80"/>
      <c r="L106" s="84"/>
      <c r="M106" s="80"/>
      <c r="N106" s="80"/>
      <c r="O106" s="80"/>
      <c r="P106" s="80"/>
      <c r="Q106" s="80"/>
      <c r="R106" s="80"/>
      <c r="S106" s="80"/>
    </row>
    <row r="107" spans="1:23">
      <c r="A107" s="69">
        <v>45778</v>
      </c>
      <c r="B107" t="s">
        <v>183</v>
      </c>
      <c r="C107" s="11">
        <v>106</v>
      </c>
      <c r="D107" s="5" t="s">
        <v>80</v>
      </c>
      <c r="E107" s="7" t="s">
        <v>156</v>
      </c>
      <c r="F107" s="7" t="s">
        <v>231</v>
      </c>
      <c r="G107" s="3" t="s">
        <v>162</v>
      </c>
      <c r="H107" s="8" t="s">
        <v>28</v>
      </c>
      <c r="I107" s="5" t="s">
        <v>30</v>
      </c>
      <c r="J107" s="5" t="s">
        <v>18</v>
      </c>
      <c r="K107" s="5">
        <v>2</v>
      </c>
      <c r="L107" s="8" t="s">
        <v>28</v>
      </c>
      <c r="M107" s="5" t="s">
        <v>34</v>
      </c>
      <c r="N107" s="5" t="s">
        <v>18</v>
      </c>
      <c r="O107" s="5">
        <v>3</v>
      </c>
      <c r="P107" s="5" t="s">
        <v>29</v>
      </c>
      <c r="Q107" s="5" t="s">
        <v>25</v>
      </c>
      <c r="R107" s="5">
        <v>67</v>
      </c>
      <c r="S107" s="5">
        <v>5</v>
      </c>
    </row>
    <row r="108" spans="1:23">
      <c r="A108" s="50">
        <v>46006</v>
      </c>
      <c r="B108" s="91" t="s">
        <v>269</v>
      </c>
      <c r="C108" s="11">
        <v>107</v>
      </c>
      <c r="D108" s="5" t="s">
        <v>223</v>
      </c>
      <c r="E108" s="7" t="s">
        <v>37</v>
      </c>
      <c r="F108" s="7"/>
      <c r="G108" s="3" t="s">
        <v>64</v>
      </c>
      <c r="H108" s="3"/>
      <c r="I108" s="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0" t="s">
        <v>270</v>
      </c>
    </row>
    <row r="109" spans="1:23" s="91" customFormat="1">
      <c r="A109" s="50">
        <v>45992</v>
      </c>
      <c r="B109" s="91" t="s">
        <v>259</v>
      </c>
      <c r="C109" s="11">
        <v>108</v>
      </c>
      <c r="D109" s="5" t="s">
        <v>223</v>
      </c>
      <c r="E109" s="7" t="s">
        <v>37</v>
      </c>
      <c r="F109" s="7" t="s">
        <v>262</v>
      </c>
      <c r="G109" s="3" t="s">
        <v>67</v>
      </c>
      <c r="H109" s="3" t="s">
        <v>65</v>
      </c>
      <c r="I109" s="9"/>
      <c r="J109" s="5" t="s">
        <v>14</v>
      </c>
      <c r="K109" s="5">
        <v>4</v>
      </c>
      <c r="L109" s="5"/>
      <c r="M109" s="5"/>
      <c r="N109" s="5"/>
      <c r="O109" s="5"/>
      <c r="P109" s="5" t="s">
        <v>15</v>
      </c>
      <c r="Q109" s="5" t="s">
        <v>27</v>
      </c>
      <c r="R109" s="5">
        <v>60</v>
      </c>
      <c r="S109" s="5">
        <v>4</v>
      </c>
      <c r="T109" s="10"/>
      <c r="U109"/>
      <c r="V109"/>
      <c r="W109"/>
    </row>
    <row r="110" spans="1:23">
      <c r="A110" s="10"/>
      <c r="B110" s="10"/>
      <c r="C110" s="11">
        <v>109</v>
      </c>
      <c r="D110" s="5" t="s">
        <v>223</v>
      </c>
      <c r="E110" s="7" t="s">
        <v>70</v>
      </c>
      <c r="F110" s="7" t="s">
        <v>211</v>
      </c>
      <c r="G110" s="3" t="s">
        <v>92</v>
      </c>
      <c r="H110" s="3" t="s">
        <v>46</v>
      </c>
      <c r="I110" s="6"/>
      <c r="J110" s="5" t="s">
        <v>25</v>
      </c>
      <c r="K110" s="5">
        <v>4</v>
      </c>
      <c r="L110" s="5"/>
      <c r="M110" s="5"/>
      <c r="N110" s="5"/>
      <c r="O110" s="5"/>
      <c r="P110" s="5" t="s">
        <v>20</v>
      </c>
      <c r="Q110" s="4" t="s">
        <v>25</v>
      </c>
      <c r="R110" s="5">
        <v>76</v>
      </c>
      <c r="S110" s="5">
        <v>4</v>
      </c>
    </row>
    <row r="111" spans="1:23">
      <c r="C111" s="11">
        <v>110</v>
      </c>
      <c r="D111" s="5" t="s">
        <v>223</v>
      </c>
      <c r="E111" s="7" t="s">
        <v>70</v>
      </c>
      <c r="F111" s="7" t="s">
        <v>211</v>
      </c>
      <c r="G111" s="3" t="s">
        <v>93</v>
      </c>
      <c r="H111" s="3" t="s">
        <v>46</v>
      </c>
      <c r="I111" s="6"/>
      <c r="J111" s="5" t="s">
        <v>25</v>
      </c>
      <c r="K111" s="5">
        <v>4</v>
      </c>
      <c r="L111" s="5"/>
      <c r="M111" s="5"/>
      <c r="N111" s="5"/>
      <c r="O111" s="5"/>
      <c r="P111" s="5" t="s">
        <v>20</v>
      </c>
      <c r="Q111" s="5" t="s">
        <v>25</v>
      </c>
      <c r="R111" s="5">
        <v>66</v>
      </c>
      <c r="S111" s="5">
        <v>4</v>
      </c>
    </row>
    <row r="112" spans="1:23">
      <c r="A112" s="10"/>
      <c r="B112" s="10"/>
      <c r="C112" s="11">
        <v>111</v>
      </c>
      <c r="D112" s="5" t="s">
        <v>223</v>
      </c>
      <c r="E112" s="7" t="s">
        <v>37</v>
      </c>
      <c r="F112" s="7" t="s">
        <v>211</v>
      </c>
      <c r="G112" s="3" t="s">
        <v>66</v>
      </c>
      <c r="H112" s="3" t="s">
        <v>65</v>
      </c>
      <c r="I112" s="9"/>
      <c r="J112" s="5" t="s">
        <v>16</v>
      </c>
      <c r="K112" s="5">
        <v>4</v>
      </c>
      <c r="L112" s="5"/>
      <c r="M112" s="5"/>
      <c r="N112" s="5"/>
      <c r="O112" s="5"/>
      <c r="P112" s="5" t="s">
        <v>15</v>
      </c>
      <c r="Q112" s="5" t="s">
        <v>16</v>
      </c>
      <c r="R112" s="5">
        <v>70</v>
      </c>
      <c r="S112" s="5">
        <v>4</v>
      </c>
      <c r="T112" s="10"/>
    </row>
    <row r="113" spans="1:20">
      <c r="A113" s="86">
        <v>45792</v>
      </c>
      <c r="B113" s="10" t="s">
        <v>187</v>
      </c>
      <c r="C113" s="11">
        <v>112</v>
      </c>
      <c r="D113" s="74" t="s">
        <v>223</v>
      </c>
      <c r="E113" s="76" t="s">
        <v>37</v>
      </c>
      <c r="F113" s="76"/>
      <c r="G113" s="77" t="s">
        <v>68</v>
      </c>
      <c r="H113" s="77"/>
      <c r="I113" s="79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10"/>
    </row>
    <row r="114" spans="1:20">
      <c r="A114" s="86"/>
      <c r="B114" s="10"/>
      <c r="C114" s="11">
        <v>113</v>
      </c>
      <c r="D114" s="5"/>
      <c r="E114" s="7"/>
      <c r="F114" s="7"/>
      <c r="G114" s="3"/>
      <c r="H114" s="3"/>
      <c r="I114" s="9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0"/>
    </row>
    <row r="115" spans="1:20">
      <c r="C115" s="11">
        <v>114</v>
      </c>
      <c r="D115" s="5" t="s">
        <v>223</v>
      </c>
      <c r="E115" s="7" t="s">
        <v>94</v>
      </c>
      <c r="F115" s="7" t="s">
        <v>211</v>
      </c>
      <c r="G115" s="3" t="s">
        <v>139</v>
      </c>
      <c r="H115" s="3" t="s">
        <v>46</v>
      </c>
      <c r="I115" s="6"/>
      <c r="J115" s="5" t="s">
        <v>18</v>
      </c>
      <c r="K115" s="5">
        <v>4</v>
      </c>
      <c r="L115" s="5"/>
      <c r="M115" s="5"/>
      <c r="N115" s="5"/>
      <c r="O115" s="5"/>
      <c r="P115" s="5" t="s">
        <v>20</v>
      </c>
      <c r="Q115" s="5" t="s">
        <v>18</v>
      </c>
      <c r="R115" s="5">
        <v>71</v>
      </c>
      <c r="S115" s="5">
        <v>4</v>
      </c>
    </row>
    <row r="116" spans="1:20">
      <c r="C116" s="11">
        <v>115</v>
      </c>
      <c r="D116" s="5" t="s">
        <v>223</v>
      </c>
      <c r="E116" s="7" t="s">
        <v>94</v>
      </c>
      <c r="F116" s="7" t="s">
        <v>211</v>
      </c>
      <c r="G116" s="3" t="s">
        <v>140</v>
      </c>
      <c r="H116" s="3" t="s">
        <v>46</v>
      </c>
      <c r="I116" s="6"/>
      <c r="J116" s="5" t="s">
        <v>18</v>
      </c>
      <c r="K116" s="5">
        <v>4</v>
      </c>
      <c r="L116" s="5"/>
      <c r="M116" s="5"/>
      <c r="N116" s="5"/>
      <c r="O116" s="5"/>
      <c r="P116" s="5" t="s">
        <v>20</v>
      </c>
      <c r="Q116" s="5" t="s">
        <v>18</v>
      </c>
      <c r="R116" s="5">
        <v>65</v>
      </c>
      <c r="S116" s="5">
        <v>4</v>
      </c>
    </row>
    <row r="117" spans="1:20">
      <c r="C117" s="11">
        <v>116</v>
      </c>
      <c r="D117" s="5" t="s">
        <v>223</v>
      </c>
      <c r="E117" s="7" t="s">
        <v>94</v>
      </c>
      <c r="F117" s="7" t="s">
        <v>211</v>
      </c>
      <c r="G117" s="3" t="s">
        <v>141</v>
      </c>
      <c r="H117" s="3" t="s">
        <v>46</v>
      </c>
      <c r="I117" s="6"/>
      <c r="J117" s="5" t="s">
        <v>18</v>
      </c>
      <c r="K117" s="5">
        <v>4</v>
      </c>
      <c r="L117" s="5"/>
      <c r="M117" s="5"/>
      <c r="N117" s="5"/>
      <c r="O117" s="5"/>
      <c r="P117" s="5" t="s">
        <v>20</v>
      </c>
      <c r="Q117" s="5" t="s">
        <v>18</v>
      </c>
      <c r="R117" s="5">
        <v>69</v>
      </c>
      <c r="S117" s="5">
        <v>4</v>
      </c>
    </row>
    <row r="118" spans="1:20">
      <c r="C118" s="11">
        <v>117</v>
      </c>
      <c r="D118" s="5" t="s">
        <v>223</v>
      </c>
      <c r="E118" s="7" t="s">
        <v>94</v>
      </c>
      <c r="F118" s="7" t="s">
        <v>211</v>
      </c>
      <c r="G118" s="3" t="s">
        <v>142</v>
      </c>
      <c r="H118" s="3" t="s">
        <v>46</v>
      </c>
      <c r="I118" s="6"/>
      <c r="J118" s="5" t="s">
        <v>23</v>
      </c>
      <c r="K118" s="5">
        <v>4</v>
      </c>
      <c r="L118" s="5"/>
      <c r="M118" s="5"/>
      <c r="N118" s="5"/>
      <c r="O118" s="5"/>
      <c r="P118" s="5" t="s">
        <v>20</v>
      </c>
      <c r="Q118" s="5" t="s">
        <v>23</v>
      </c>
      <c r="R118" s="5" t="s">
        <v>136</v>
      </c>
      <c r="S118" s="5">
        <v>4</v>
      </c>
    </row>
    <row r="119" spans="1:20">
      <c r="C119" s="11">
        <v>118</v>
      </c>
      <c r="D119" s="5" t="s">
        <v>223</v>
      </c>
      <c r="E119" s="7" t="s">
        <v>94</v>
      </c>
      <c r="F119" s="7" t="s">
        <v>211</v>
      </c>
      <c r="G119" s="3" t="s">
        <v>143</v>
      </c>
      <c r="H119" s="3" t="s">
        <v>46</v>
      </c>
      <c r="I119" s="6"/>
      <c r="J119" s="5" t="s">
        <v>19</v>
      </c>
      <c r="K119" s="5">
        <v>4</v>
      </c>
      <c r="L119" s="5"/>
      <c r="M119" s="5"/>
      <c r="N119" s="5"/>
      <c r="O119" s="5"/>
      <c r="P119" s="5" t="s">
        <v>20</v>
      </c>
      <c r="Q119" s="5" t="s">
        <v>19</v>
      </c>
      <c r="R119" s="5">
        <v>70</v>
      </c>
      <c r="S119" s="5">
        <v>4</v>
      </c>
    </row>
    <row r="120" spans="1:20">
      <c r="C120" s="11">
        <v>119</v>
      </c>
      <c r="D120" s="5" t="s">
        <v>223</v>
      </c>
      <c r="E120" s="7" t="s">
        <v>94</v>
      </c>
      <c r="F120" s="7" t="s">
        <v>211</v>
      </c>
      <c r="G120" s="3" t="s">
        <v>144</v>
      </c>
      <c r="H120" s="3" t="s">
        <v>46</v>
      </c>
      <c r="I120" s="6"/>
      <c r="J120" s="5" t="s">
        <v>25</v>
      </c>
      <c r="K120" s="5">
        <v>4</v>
      </c>
      <c r="L120" s="5"/>
      <c r="M120" s="5"/>
      <c r="N120" s="5"/>
      <c r="O120" s="5"/>
      <c r="P120" s="5" t="s">
        <v>20</v>
      </c>
      <c r="Q120" s="5" t="s">
        <v>25</v>
      </c>
      <c r="R120" s="5">
        <v>71</v>
      </c>
      <c r="S120" s="5">
        <v>4</v>
      </c>
    </row>
    <row r="121" spans="1:20">
      <c r="C121" s="11">
        <v>120</v>
      </c>
      <c r="D121" s="5" t="s">
        <v>223</v>
      </c>
      <c r="E121" s="7" t="s">
        <v>94</v>
      </c>
      <c r="F121" s="7" t="s">
        <v>211</v>
      </c>
      <c r="G121" s="3" t="s">
        <v>145</v>
      </c>
      <c r="H121" s="3" t="s">
        <v>46</v>
      </c>
      <c r="I121" s="6"/>
      <c r="J121" s="5" t="s">
        <v>19</v>
      </c>
      <c r="K121" s="5">
        <v>4</v>
      </c>
      <c r="L121" s="5"/>
      <c r="M121" s="5"/>
      <c r="N121" s="5"/>
      <c r="O121" s="5"/>
      <c r="P121" s="5" t="s">
        <v>20</v>
      </c>
      <c r="Q121" s="5" t="s">
        <v>19</v>
      </c>
      <c r="R121" s="5">
        <v>74</v>
      </c>
      <c r="S121" s="5">
        <v>4</v>
      </c>
    </row>
    <row r="122" spans="1:20">
      <c r="C122" s="11">
        <v>121</v>
      </c>
      <c r="D122" s="5" t="s">
        <v>223</v>
      </c>
      <c r="E122" s="7" t="s">
        <v>94</v>
      </c>
      <c r="F122" s="7" t="s">
        <v>211</v>
      </c>
      <c r="G122" s="3" t="s">
        <v>146</v>
      </c>
      <c r="H122" s="3" t="s">
        <v>46</v>
      </c>
      <c r="I122" s="6"/>
      <c r="J122" s="5" t="s">
        <v>19</v>
      </c>
      <c r="K122" s="5">
        <v>4</v>
      </c>
      <c r="L122" s="5"/>
      <c r="M122" s="5"/>
      <c r="N122" s="5"/>
      <c r="O122" s="5"/>
      <c r="P122" s="5" t="s">
        <v>20</v>
      </c>
      <c r="Q122" s="5" t="s">
        <v>19</v>
      </c>
      <c r="R122" s="5">
        <v>77</v>
      </c>
      <c r="S122" s="5">
        <v>4</v>
      </c>
    </row>
    <row r="123" spans="1:20">
      <c r="A123" s="10"/>
      <c r="B123" s="10"/>
      <c r="C123" s="11">
        <v>122</v>
      </c>
      <c r="D123" s="5" t="s">
        <v>223</v>
      </c>
      <c r="E123" s="7" t="s">
        <v>70</v>
      </c>
      <c r="F123" s="7" t="s">
        <v>210</v>
      </c>
      <c r="G123" s="3" t="s">
        <v>91</v>
      </c>
      <c r="H123" s="3" t="s">
        <v>46</v>
      </c>
      <c r="I123" s="6"/>
      <c r="J123" s="5" t="s">
        <v>18</v>
      </c>
      <c r="K123" s="5">
        <v>5</v>
      </c>
      <c r="L123" s="5"/>
      <c r="M123" s="5"/>
      <c r="N123" s="5"/>
      <c r="O123" s="5"/>
      <c r="P123" s="5" t="s">
        <v>20</v>
      </c>
      <c r="Q123" s="4" t="s">
        <v>18</v>
      </c>
      <c r="R123" s="5">
        <v>70</v>
      </c>
      <c r="S123" s="5">
        <v>5</v>
      </c>
    </row>
    <row r="124" spans="1:20">
      <c r="C124" s="11">
        <v>123</v>
      </c>
      <c r="D124" s="5" t="s">
        <v>163</v>
      </c>
      <c r="E124" s="7" t="s">
        <v>156</v>
      </c>
      <c r="F124" s="5" t="s">
        <v>215</v>
      </c>
      <c r="G124" s="3" t="s">
        <v>164</v>
      </c>
      <c r="H124" s="3" t="s">
        <v>232</v>
      </c>
      <c r="I124" s="6" t="s">
        <v>196</v>
      </c>
      <c r="J124" s="5" t="s">
        <v>16</v>
      </c>
      <c r="K124" s="5">
        <v>3</v>
      </c>
      <c r="L124" s="8" t="s">
        <v>24</v>
      </c>
      <c r="M124" s="5" t="s">
        <v>197</v>
      </c>
      <c r="N124" s="5" t="s">
        <v>16</v>
      </c>
      <c r="O124" s="5">
        <v>2</v>
      </c>
      <c r="P124" s="5" t="s">
        <v>17</v>
      </c>
      <c r="Q124" s="5" t="s">
        <v>18</v>
      </c>
      <c r="R124" s="6"/>
      <c r="S124" s="5">
        <v>5</v>
      </c>
    </row>
    <row r="125" spans="1:20">
      <c r="C125" s="11">
        <v>124</v>
      </c>
      <c r="D125" s="5" t="s">
        <v>163</v>
      </c>
      <c r="E125" s="7" t="s">
        <v>156</v>
      </c>
      <c r="F125" s="5" t="s">
        <v>215</v>
      </c>
      <c r="G125" s="3" t="s">
        <v>167</v>
      </c>
      <c r="H125" s="3" t="s">
        <v>232</v>
      </c>
      <c r="I125" s="6" t="s">
        <v>196</v>
      </c>
      <c r="J125" s="5" t="s">
        <v>193</v>
      </c>
      <c r="K125" s="5">
        <v>3</v>
      </c>
      <c r="L125" s="8" t="s">
        <v>24</v>
      </c>
      <c r="M125" s="5" t="s">
        <v>197</v>
      </c>
      <c r="N125" s="5" t="s">
        <v>14</v>
      </c>
      <c r="O125" s="5">
        <v>2</v>
      </c>
      <c r="P125" s="5" t="s">
        <v>17</v>
      </c>
      <c r="Q125" s="5" t="s">
        <v>19</v>
      </c>
      <c r="R125" s="6"/>
      <c r="S125" s="5">
        <v>5</v>
      </c>
    </row>
    <row r="126" spans="1:20">
      <c r="C126" s="11">
        <v>125</v>
      </c>
      <c r="D126" s="5" t="s">
        <v>163</v>
      </c>
      <c r="E126" s="7" t="s">
        <v>156</v>
      </c>
      <c r="F126" s="5" t="s">
        <v>216</v>
      </c>
      <c r="G126" s="3" t="s">
        <v>169</v>
      </c>
      <c r="H126" s="3" t="s">
        <v>232</v>
      </c>
      <c r="I126" s="6" t="s">
        <v>196</v>
      </c>
      <c r="J126" s="5" t="s">
        <v>198</v>
      </c>
      <c r="K126" s="5">
        <v>2</v>
      </c>
      <c r="L126" s="8" t="s">
        <v>24</v>
      </c>
      <c r="M126" s="5" t="s">
        <v>197</v>
      </c>
      <c r="N126" s="5" t="s">
        <v>198</v>
      </c>
      <c r="O126" s="5">
        <v>2</v>
      </c>
      <c r="P126" s="5" t="s">
        <v>17</v>
      </c>
      <c r="Q126" s="5" t="s">
        <v>18</v>
      </c>
      <c r="R126" s="6"/>
      <c r="S126" s="5">
        <v>4</v>
      </c>
    </row>
    <row r="127" spans="1:20">
      <c r="C127" s="11">
        <v>126</v>
      </c>
      <c r="D127" s="5" t="s">
        <v>163</v>
      </c>
      <c r="E127" s="7" t="s">
        <v>156</v>
      </c>
      <c r="F127" s="5" t="s">
        <v>216</v>
      </c>
      <c r="G127" s="3" t="s">
        <v>170</v>
      </c>
      <c r="H127" s="3" t="s">
        <v>232</v>
      </c>
      <c r="I127" s="6" t="s">
        <v>196</v>
      </c>
      <c r="J127" s="5" t="s">
        <v>193</v>
      </c>
      <c r="K127" s="5">
        <v>2</v>
      </c>
      <c r="L127" s="8" t="s">
        <v>24</v>
      </c>
      <c r="M127" s="5" t="s">
        <v>197</v>
      </c>
      <c r="N127" s="5" t="s">
        <v>193</v>
      </c>
      <c r="O127" s="5">
        <v>2</v>
      </c>
      <c r="P127" s="5" t="s">
        <v>17</v>
      </c>
      <c r="Q127" s="5" t="s">
        <v>18</v>
      </c>
      <c r="R127" s="6"/>
      <c r="S127" s="5">
        <v>4</v>
      </c>
    </row>
    <row r="128" spans="1:20">
      <c r="C128" s="11">
        <v>127</v>
      </c>
      <c r="D128" s="5" t="s">
        <v>163</v>
      </c>
      <c r="E128" s="7" t="s">
        <v>156</v>
      </c>
      <c r="F128" s="5" t="s">
        <v>215</v>
      </c>
      <c r="G128" s="3" t="s">
        <v>165</v>
      </c>
      <c r="H128" s="3" t="s">
        <v>232</v>
      </c>
      <c r="I128" s="6" t="s">
        <v>196</v>
      </c>
      <c r="J128" s="5" t="s">
        <v>193</v>
      </c>
      <c r="K128" s="5">
        <v>2</v>
      </c>
      <c r="L128" s="8" t="s">
        <v>24</v>
      </c>
      <c r="M128" s="5" t="s">
        <v>197</v>
      </c>
      <c r="N128" s="5" t="s">
        <v>193</v>
      </c>
      <c r="O128" s="5">
        <v>3</v>
      </c>
      <c r="P128" s="5" t="s">
        <v>17</v>
      </c>
      <c r="Q128" s="5" t="s">
        <v>19</v>
      </c>
      <c r="R128" s="6"/>
      <c r="S128" s="5">
        <v>5</v>
      </c>
    </row>
    <row r="129" spans="1:20">
      <c r="A129" s="69">
        <v>46037</v>
      </c>
      <c r="B129" t="s">
        <v>187</v>
      </c>
      <c r="C129" s="11">
        <v>128</v>
      </c>
      <c r="D129" s="80" t="s">
        <v>163</v>
      </c>
      <c r="E129" s="82" t="s">
        <v>156</v>
      </c>
      <c r="F129" s="80"/>
      <c r="G129" s="83" t="s">
        <v>166</v>
      </c>
      <c r="H129" s="83"/>
      <c r="I129" s="85"/>
      <c r="J129" s="80"/>
      <c r="K129" s="80"/>
      <c r="L129" s="84"/>
      <c r="M129" s="80"/>
      <c r="N129" s="80"/>
      <c r="O129" s="80"/>
      <c r="P129" s="80"/>
      <c r="Q129" s="80"/>
      <c r="R129" s="85"/>
      <c r="S129" s="80"/>
    </row>
    <row r="130" spans="1:20">
      <c r="C130" s="11">
        <v>129</v>
      </c>
      <c r="D130" s="5" t="s">
        <v>163</v>
      </c>
      <c r="E130" s="7" t="s">
        <v>156</v>
      </c>
      <c r="F130" s="5" t="s">
        <v>215</v>
      </c>
      <c r="G130" s="3" t="s">
        <v>168</v>
      </c>
      <c r="H130" s="3" t="s">
        <v>232</v>
      </c>
      <c r="I130" s="6" t="s">
        <v>196</v>
      </c>
      <c r="J130" s="5" t="s">
        <v>193</v>
      </c>
      <c r="K130" s="5">
        <v>2</v>
      </c>
      <c r="L130" s="8" t="s">
        <v>24</v>
      </c>
      <c r="M130" s="5" t="s">
        <v>197</v>
      </c>
      <c r="N130" s="5" t="s">
        <v>192</v>
      </c>
      <c r="O130" s="5">
        <v>3</v>
      </c>
      <c r="P130" s="5" t="s">
        <v>17</v>
      </c>
      <c r="Q130" s="5" t="s">
        <v>18</v>
      </c>
      <c r="R130" s="6"/>
      <c r="S130" s="5">
        <v>5</v>
      </c>
    </row>
    <row r="131" spans="1:20">
      <c r="A131" s="50">
        <v>45658</v>
      </c>
      <c r="B131" s="91" t="s">
        <v>229</v>
      </c>
      <c r="C131" s="11">
        <v>130</v>
      </c>
      <c r="D131" s="5" t="s">
        <v>163</v>
      </c>
      <c r="E131" s="7" t="s">
        <v>156</v>
      </c>
      <c r="F131" s="5" t="s">
        <v>215</v>
      </c>
      <c r="G131" s="3" t="s">
        <v>264</v>
      </c>
      <c r="H131" s="3" t="s">
        <v>265</v>
      </c>
      <c r="I131" s="6" t="s">
        <v>196</v>
      </c>
      <c r="J131" s="5" t="s">
        <v>27</v>
      </c>
      <c r="K131" s="5">
        <v>2</v>
      </c>
      <c r="L131" s="8" t="s">
        <v>266</v>
      </c>
      <c r="M131" s="5" t="s">
        <v>197</v>
      </c>
      <c r="N131" s="5" t="s">
        <v>267</v>
      </c>
      <c r="O131" s="5">
        <v>3</v>
      </c>
      <c r="P131" s="5" t="s">
        <v>268</v>
      </c>
      <c r="Q131" s="5" t="s">
        <v>267</v>
      </c>
      <c r="R131" s="6"/>
      <c r="S131" s="5">
        <v>5</v>
      </c>
    </row>
    <row r="132" spans="1:20">
      <c r="C132" s="11">
        <v>131</v>
      </c>
      <c r="D132" s="3" t="s">
        <v>224</v>
      </c>
      <c r="E132" s="7" t="s">
        <v>156</v>
      </c>
      <c r="F132" s="4" t="s">
        <v>200</v>
      </c>
      <c r="G132" s="3" t="s">
        <v>148</v>
      </c>
      <c r="H132" s="5" t="s">
        <v>13</v>
      </c>
      <c r="I132" s="5"/>
      <c r="J132" s="5" t="s">
        <v>19</v>
      </c>
      <c r="K132" s="5">
        <v>5</v>
      </c>
      <c r="L132" s="5"/>
      <c r="M132" s="5"/>
      <c r="N132" s="5"/>
      <c r="O132" s="5"/>
      <c r="P132" s="5" t="s">
        <v>20</v>
      </c>
      <c r="Q132" s="5" t="s">
        <v>19</v>
      </c>
      <c r="R132" s="5">
        <v>76</v>
      </c>
      <c r="S132" s="5">
        <v>5</v>
      </c>
      <c r="T132" s="4" t="s">
        <v>147</v>
      </c>
    </row>
    <row r="133" spans="1:20">
      <c r="C133" s="11"/>
    </row>
  </sheetData>
  <autoFilter ref="A1:T133" xr:uid="{52A9FE5C-9A79-4260-9FD2-C3DEEB261ED9}"/>
  <phoneticPr fontId="4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請求合計</vt:lpstr>
      <vt:lpstr>請求詳細</vt:lpstr>
      <vt:lpstr>請求合計!Print_Area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2025-06-10T00:00:57Z</cp:lastPrinted>
  <dcterms:created xsi:type="dcterms:W3CDTF">2025-04-18T01:01:16Z</dcterms:created>
  <dcterms:modified xsi:type="dcterms:W3CDTF">2026-02-09T07:25:33Z</dcterms:modified>
</cp:coreProperties>
</file>