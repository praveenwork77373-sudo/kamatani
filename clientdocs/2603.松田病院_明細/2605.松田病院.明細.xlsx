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Hq.kamatani.co.jp\share\sharedat\keiri\鳥居2\メディカル\307204松田病院\"/>
    </mc:Choice>
  </mc:AlternateContent>
  <xr:revisionPtr revIDLastSave="0" documentId="13_ncr:1_{704DF605-BCB1-4EE9-AEFC-DED1BBD2CD1B}" xr6:coauthVersionLast="47" xr6:coauthVersionMax="47" xr10:uidLastSave="{00000000-0000-0000-0000-000000000000}"/>
  <bookViews>
    <workbookView xWindow="-120" yWindow="-120" windowWidth="29040" windowHeight="15720" activeTab="1" xr2:uid="{510BC7E7-564B-4708-989A-6E04783A2B33}"/>
  </bookViews>
  <sheets>
    <sheet name="契約内容請求内訳" sheetId="2" r:id="rId1"/>
    <sheet name="元データ" sheetId="1" r:id="rId2"/>
  </sheets>
  <definedNames>
    <definedName name="_xlnm._FilterDatabase" localSheetId="1" hidden="1">元データ!$A$1:$Q$108</definedName>
    <definedName name="_xlnm.Print_Area" localSheetId="0">契約内容請求内訳!$A$1:$H$65</definedName>
    <definedName name="_xlnm.Print_Area" localSheetId="1">元データ!$A$1:$N$1</definedName>
    <definedName name="_xlnm.Print_Titles" localSheetId="0">契約内容請求内訳!$1:$4</definedName>
    <definedName name="_xlnm.Print_Titles" localSheetId="1">元データ!$1:$1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4" i="2" l="1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49" i="2"/>
  <c r="H49" i="2" s="1"/>
  <c r="G48" i="2"/>
  <c r="H48" i="2" s="1"/>
  <c r="G47" i="2"/>
  <c r="H47" i="2" s="1"/>
  <c r="G46" i="2"/>
  <c r="H46" i="2" s="1"/>
  <c r="G45" i="2"/>
  <c r="H45" i="2" s="1"/>
  <c r="G39" i="2"/>
  <c r="H39" i="2" s="1"/>
  <c r="G38" i="2"/>
  <c r="H38" i="2" s="1"/>
  <c r="G37" i="2"/>
  <c r="H37" i="2" s="1"/>
  <c r="G36" i="2"/>
  <c r="H36" i="2" s="1"/>
  <c r="G35" i="2"/>
  <c r="H35" i="2" s="1"/>
  <c r="G29" i="2"/>
  <c r="H29" i="2" s="1"/>
  <c r="G28" i="2"/>
  <c r="H28" i="2" s="1"/>
  <c r="G27" i="2"/>
  <c r="H27" i="2" s="1"/>
  <c r="G26" i="2"/>
  <c r="H26" i="2" s="1"/>
  <c r="G25" i="2"/>
  <c r="H25" i="2" s="1"/>
  <c r="G16" i="2"/>
  <c r="H16" i="2" s="1"/>
  <c r="G17" i="2"/>
  <c r="H17" i="2" s="1"/>
  <c r="G18" i="2"/>
  <c r="H18" i="2" s="1"/>
  <c r="G19" i="2"/>
  <c r="H19" i="2" s="1"/>
  <c r="G15" i="2"/>
  <c r="H1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20" i="2"/>
  <c r="H20" i="2" s="1"/>
  <c r="G21" i="2"/>
  <c r="H21" i="2" s="1"/>
  <c r="G22" i="2"/>
  <c r="H22" i="2" s="1"/>
  <c r="G23" i="2"/>
  <c r="H23" i="2" s="1"/>
  <c r="G24" i="2"/>
  <c r="H24" i="2" s="1"/>
  <c r="G30" i="2"/>
  <c r="H30" i="2" s="1"/>
  <c r="G31" i="2"/>
  <c r="H31" i="2" s="1"/>
  <c r="G32" i="2"/>
  <c r="H32" i="2" s="1"/>
  <c r="G33" i="2"/>
  <c r="H33" i="2" s="1"/>
  <c r="G34" i="2"/>
  <c r="H34" i="2" s="1"/>
  <c r="G40" i="2"/>
  <c r="H40" i="2" s="1"/>
  <c r="G41" i="2"/>
  <c r="H41" i="2" s="1"/>
  <c r="G42" i="2"/>
  <c r="H42" i="2" s="1"/>
  <c r="G43" i="2"/>
  <c r="H43" i="2" s="1"/>
  <c r="G44" i="2"/>
  <c r="H44" i="2" s="1"/>
  <c r="G50" i="2"/>
  <c r="H50" i="2" s="1"/>
  <c r="G51" i="2"/>
  <c r="H51" i="2" s="1"/>
  <c r="G52" i="2"/>
  <c r="H52" i="2" s="1"/>
  <c r="G53" i="2"/>
  <c r="H53" i="2" s="1"/>
  <c r="G54" i="2"/>
  <c r="H54" i="2" s="1"/>
  <c r="G5" i="2"/>
  <c r="G65" i="2" l="1"/>
  <c r="H5" i="2"/>
  <c r="H65" i="2" s="1"/>
</calcChain>
</file>

<file path=xl/sharedStrings.xml><?xml version="1.0" encoding="utf-8"?>
<sst xmlns="http://schemas.openxmlformats.org/spreadsheetml/2006/main" count="607" uniqueCount="264">
  <si>
    <t>UQM2106-1</t>
  </si>
  <si>
    <t>UQM1534-93</t>
  </si>
  <si>
    <t>UZL4203-5</t>
    <phoneticPr fontId="3"/>
  </si>
  <si>
    <t>UZL3210-91</t>
    <phoneticPr fontId="3"/>
  </si>
  <si>
    <t>UP17002V-5</t>
    <phoneticPr fontId="3"/>
  </si>
  <si>
    <t>UQM1540-7</t>
    <phoneticPr fontId="3"/>
  </si>
  <si>
    <t>UQM2106-1</t>
    <phoneticPr fontId="3"/>
  </si>
  <si>
    <t>UQM1534-93</t>
    <phoneticPr fontId="3"/>
  </si>
  <si>
    <t>UQW2037V-5</t>
    <phoneticPr fontId="3"/>
  </si>
  <si>
    <t>UQW1056-593</t>
    <phoneticPr fontId="3"/>
  </si>
  <si>
    <t>クラーク</t>
    <phoneticPr fontId="3"/>
  </si>
  <si>
    <t>UQW1058-93</t>
    <phoneticPr fontId="3"/>
  </si>
  <si>
    <t>股下</t>
    <rPh sb="0" eb="2">
      <t>マタシタ</t>
    </rPh>
    <phoneticPr fontId="3"/>
  </si>
  <si>
    <t>下衣サイズ</t>
    <rPh sb="0" eb="2">
      <t>カイ</t>
    </rPh>
    <phoneticPr fontId="3"/>
  </si>
  <si>
    <t>下衣品番</t>
    <rPh sb="0" eb="2">
      <t>カイ</t>
    </rPh>
    <rPh sb="2" eb="4">
      <t>ヒンバン</t>
    </rPh>
    <phoneticPr fontId="3"/>
  </si>
  <si>
    <t>上衣サイズ</t>
    <rPh sb="0" eb="2">
      <t>ジョウイ</t>
    </rPh>
    <phoneticPr fontId="3"/>
  </si>
  <si>
    <t>上衣品番</t>
    <rPh sb="0" eb="2">
      <t>ジョウイ</t>
    </rPh>
    <rPh sb="2" eb="4">
      <t>ヒンバン</t>
    </rPh>
    <phoneticPr fontId="3"/>
  </si>
  <si>
    <t>枚数</t>
    <rPh sb="0" eb="2">
      <t>マイスウ</t>
    </rPh>
    <phoneticPr fontId="3"/>
  </si>
  <si>
    <t>部署</t>
    <rPh sb="0" eb="2">
      <t>ブショ</t>
    </rPh>
    <phoneticPr fontId="3"/>
  </si>
  <si>
    <t>職種</t>
    <rPh sb="0" eb="2">
      <t>ショクシュ</t>
    </rPh>
    <phoneticPr fontId="3"/>
  </si>
  <si>
    <t>ふりがな</t>
    <phoneticPr fontId="3"/>
  </si>
  <si>
    <t>氏名</t>
    <rPh sb="0" eb="2">
      <t>シメイ</t>
    </rPh>
    <phoneticPr fontId="3"/>
  </si>
  <si>
    <t>変更履歴</t>
    <rPh sb="0" eb="2">
      <t>ヘンコウ</t>
    </rPh>
    <rPh sb="2" eb="4">
      <t>リレキ</t>
    </rPh>
    <phoneticPr fontId="3"/>
  </si>
  <si>
    <t>契約コード１</t>
    <rPh sb="0" eb="2">
      <t>ケイヤク</t>
    </rPh>
    <phoneticPr fontId="3"/>
  </si>
  <si>
    <t>契約コード２</t>
    <rPh sb="0" eb="2">
      <t>ケイヤク</t>
    </rPh>
    <phoneticPr fontId="3"/>
  </si>
  <si>
    <t>性別</t>
    <rPh sb="0" eb="2">
      <t>セイベツ</t>
    </rPh>
    <phoneticPr fontId="3"/>
  </si>
  <si>
    <t>K-DS-1</t>
  </si>
  <si>
    <t>K-DS-5</t>
    <phoneticPr fontId="3"/>
  </si>
  <si>
    <t>K-JJ-2</t>
  </si>
  <si>
    <t>K-JJ-3</t>
  </si>
  <si>
    <t>K-JJ-4</t>
    <phoneticPr fontId="3"/>
  </si>
  <si>
    <t>K-JJ-5</t>
    <phoneticPr fontId="3"/>
  </si>
  <si>
    <t>K-P-1</t>
  </si>
  <si>
    <t>K-P-2</t>
  </si>
  <si>
    <t>K-P-3</t>
  </si>
  <si>
    <t>K-P-4</t>
    <phoneticPr fontId="3"/>
  </si>
  <si>
    <t>K-P-5</t>
    <phoneticPr fontId="3"/>
  </si>
  <si>
    <t>KJ-S-3</t>
  </si>
  <si>
    <t>KJ-S-4</t>
    <phoneticPr fontId="3"/>
  </si>
  <si>
    <t>KJ-S-5</t>
    <phoneticPr fontId="3"/>
  </si>
  <si>
    <t>KJ-P-3</t>
  </si>
  <si>
    <t>KJ-P-4</t>
    <phoneticPr fontId="3"/>
  </si>
  <si>
    <t>KJ-P-5</t>
    <phoneticPr fontId="3"/>
  </si>
  <si>
    <t>CL-J-5</t>
    <phoneticPr fontId="3"/>
  </si>
  <si>
    <t>CL-P-5</t>
    <phoneticPr fontId="3"/>
  </si>
  <si>
    <t>SF-NS-3</t>
  </si>
  <si>
    <t>SF-DP-3</t>
  </si>
  <si>
    <t>商品名</t>
    <rPh sb="0" eb="3">
      <t>ショウヒンメイ</t>
    </rPh>
    <phoneticPr fontId="3"/>
  </si>
  <si>
    <t>品番</t>
    <rPh sb="0" eb="2">
      <t>ヒンバン</t>
    </rPh>
    <phoneticPr fontId="3"/>
  </si>
  <si>
    <t>貸与枚数</t>
    <rPh sb="0" eb="4">
      <t>タイヨマイスウ</t>
    </rPh>
    <phoneticPr fontId="3"/>
  </si>
  <si>
    <t>契約コード</t>
    <rPh sb="0" eb="2">
      <t>ケイヤク</t>
    </rPh>
    <phoneticPr fontId="3"/>
  </si>
  <si>
    <t>看護師</t>
    <rPh sb="0" eb="3">
      <t>カンゴシ</t>
    </rPh>
    <phoneticPr fontId="3"/>
  </si>
  <si>
    <t>女性上衣</t>
    <rPh sb="0" eb="2">
      <t>ジョセイ</t>
    </rPh>
    <rPh sb="2" eb="4">
      <t>ジョウイ</t>
    </rPh>
    <phoneticPr fontId="3"/>
  </si>
  <si>
    <t>K-JJ-1</t>
  </si>
  <si>
    <t>男性用スクラブ</t>
    <rPh sb="0" eb="3">
      <t>ダンセイヨウ</t>
    </rPh>
    <phoneticPr fontId="3"/>
  </si>
  <si>
    <t>K-DS-4</t>
    <phoneticPr fontId="3"/>
  </si>
  <si>
    <t>K-DS-3</t>
  </si>
  <si>
    <t>K-DS-2</t>
  </si>
  <si>
    <t>男女兼用パンツ</t>
    <rPh sb="0" eb="4">
      <t>ダンジョケンヨウ</t>
    </rPh>
    <phoneticPr fontId="3"/>
  </si>
  <si>
    <t>看護助手</t>
    <rPh sb="0" eb="4">
      <t>カンゴジョシュ</t>
    </rPh>
    <phoneticPr fontId="3"/>
  </si>
  <si>
    <t>男女兼用スクラブ</t>
    <rPh sb="0" eb="4">
      <t>ダンジョケンヨウ</t>
    </rPh>
    <phoneticPr fontId="3"/>
  </si>
  <si>
    <t>KJ-S-2</t>
  </si>
  <si>
    <t>KJ-S-1</t>
  </si>
  <si>
    <t>KJ-P-2</t>
  </si>
  <si>
    <t>KJ-P-1</t>
  </si>
  <si>
    <t>CL-J-4</t>
    <phoneticPr fontId="3"/>
  </si>
  <si>
    <t>CL-J-3</t>
  </si>
  <si>
    <t>CL-J-2</t>
  </si>
  <si>
    <t>CL-J-1</t>
  </si>
  <si>
    <t>女性パンツ</t>
    <rPh sb="0" eb="2">
      <t>ジョセイ</t>
    </rPh>
    <phoneticPr fontId="3"/>
  </si>
  <si>
    <t>CL-P-4</t>
    <phoneticPr fontId="3"/>
  </si>
  <si>
    <t>CL-P-3</t>
  </si>
  <si>
    <t>CL-P-2</t>
  </si>
  <si>
    <t>CL-P-1</t>
  </si>
  <si>
    <t>UQW1049-90</t>
    <phoneticPr fontId="3"/>
  </si>
  <si>
    <t>KS-JJ-5</t>
    <phoneticPr fontId="3"/>
  </si>
  <si>
    <t>KS-JJ-4</t>
    <phoneticPr fontId="3"/>
  </si>
  <si>
    <t>KS-JJ-3</t>
  </si>
  <si>
    <t>KS-JJ-2</t>
  </si>
  <si>
    <t>KS-JJ-1</t>
  </si>
  <si>
    <t>KS-P-5</t>
    <phoneticPr fontId="3"/>
  </si>
  <si>
    <t>KS-P-4</t>
    <phoneticPr fontId="3"/>
  </si>
  <si>
    <t>KS-P-3</t>
  </si>
  <si>
    <t>KS-P-2</t>
  </si>
  <si>
    <t>KS-P-1</t>
  </si>
  <si>
    <t>社会福祉士</t>
    <rPh sb="0" eb="4">
      <t>シャカイフクシ</t>
    </rPh>
    <rPh sb="4" eb="5">
      <t>シ</t>
    </rPh>
    <phoneticPr fontId="3"/>
  </si>
  <si>
    <t>男女兼用ニットシャツ</t>
    <rPh sb="0" eb="4">
      <t>ダンジョケンヨウ</t>
    </rPh>
    <phoneticPr fontId="3"/>
  </si>
  <si>
    <t>SF-NS-5</t>
    <phoneticPr fontId="3"/>
  </si>
  <si>
    <t>SF-NS-4</t>
    <phoneticPr fontId="3"/>
  </si>
  <si>
    <t>SF-NS-2</t>
  </si>
  <si>
    <t>SF-NS-1</t>
  </si>
  <si>
    <t>UZL4204-5</t>
    <phoneticPr fontId="3"/>
  </si>
  <si>
    <t>SF-JP-5</t>
    <phoneticPr fontId="3"/>
  </si>
  <si>
    <t>SF-JP-4</t>
    <phoneticPr fontId="3"/>
  </si>
  <si>
    <t>SF-JP-3</t>
  </si>
  <si>
    <t>SF-JP-2</t>
  </si>
  <si>
    <t>SF-JP-1</t>
  </si>
  <si>
    <t>男性パンツ</t>
    <rPh sb="0" eb="2">
      <t>ダンセイ</t>
    </rPh>
    <phoneticPr fontId="3"/>
  </si>
  <si>
    <t>SF-DP-5</t>
    <phoneticPr fontId="3"/>
  </si>
  <si>
    <t>SF-DP-4</t>
    <phoneticPr fontId="3"/>
  </si>
  <si>
    <t>SF-DP-2</t>
  </si>
  <si>
    <t>SF-DP-1</t>
  </si>
  <si>
    <t>件数</t>
    <rPh sb="0" eb="2">
      <t>ケンスウ</t>
    </rPh>
    <phoneticPr fontId="3"/>
  </si>
  <si>
    <t>金額</t>
    <rPh sb="0" eb="2">
      <t>キンガク</t>
    </rPh>
    <phoneticPr fontId="3"/>
  </si>
  <si>
    <t>月額単価
/1人</t>
    <rPh sb="0" eb="2">
      <t>ゲツガク</t>
    </rPh>
    <rPh sb="2" eb="4">
      <t>タンカ</t>
    </rPh>
    <rPh sb="7" eb="8">
      <t>リ</t>
    </rPh>
    <phoneticPr fontId="3"/>
  </si>
  <si>
    <t>看護
サポーター</t>
    <rPh sb="0" eb="2">
      <t>カンゴ</t>
    </rPh>
    <phoneticPr fontId="3"/>
  </si>
  <si>
    <t>合計</t>
    <rPh sb="0" eb="2">
      <t>ゴウケイ</t>
    </rPh>
    <phoneticPr fontId="3"/>
  </si>
  <si>
    <t>2026年</t>
    <rPh sb="4" eb="5">
      <t>ネン</t>
    </rPh>
    <phoneticPr fontId="3"/>
  </si>
  <si>
    <t>小川　由莉</t>
    <rPh sb="0" eb="2">
      <t>オガワ</t>
    </rPh>
    <rPh sb="3" eb="5">
      <t>ユリ</t>
    </rPh>
    <phoneticPr fontId="2"/>
  </si>
  <si>
    <t>おがわ　ゆり</t>
  </si>
  <si>
    <t>MSW</t>
  </si>
  <si>
    <t>女</t>
    <rPh sb="0" eb="1">
      <t>オンナ</t>
    </rPh>
    <phoneticPr fontId="2"/>
  </si>
  <si>
    <t>地連</t>
    <rPh sb="0" eb="1">
      <t>チ</t>
    </rPh>
    <rPh sb="1" eb="2">
      <t>レン</t>
    </rPh>
    <phoneticPr fontId="2"/>
  </si>
  <si>
    <t>SF-NS-5</t>
  </si>
  <si>
    <t>SF-DP-5</t>
  </si>
  <si>
    <t>UZL3210-91</t>
  </si>
  <si>
    <t>S</t>
  </si>
  <si>
    <t>UZL4204-5</t>
  </si>
  <si>
    <t>木村　正子</t>
    <rPh sb="0" eb="2">
      <t>キムラ</t>
    </rPh>
    <rPh sb="3" eb="5">
      <t>マサコ</t>
    </rPh>
    <phoneticPr fontId="2"/>
  </si>
  <si>
    <t>きむら　まさこ</t>
  </si>
  <si>
    <t>髙橋　夕起</t>
    <rPh sb="0" eb="2">
      <t>タカハシ</t>
    </rPh>
    <rPh sb="3" eb="4">
      <t>ユウ</t>
    </rPh>
    <rPh sb="4" eb="5">
      <t>キ</t>
    </rPh>
    <phoneticPr fontId="2"/>
  </si>
  <si>
    <t>たかはし　ゆき</t>
  </si>
  <si>
    <t>M</t>
  </si>
  <si>
    <t>天良　法子</t>
    <rPh sb="0" eb="2">
      <t>テンラ</t>
    </rPh>
    <rPh sb="3" eb="5">
      <t>ノリコ</t>
    </rPh>
    <phoneticPr fontId="2"/>
  </si>
  <si>
    <t>てんら　のりこ</t>
  </si>
  <si>
    <t>看護師</t>
    <rPh sb="0" eb="2">
      <t>カンゴ</t>
    </rPh>
    <rPh sb="2" eb="3">
      <t>シ</t>
    </rPh>
    <phoneticPr fontId="2"/>
  </si>
  <si>
    <t>病棟</t>
    <rPh sb="0" eb="2">
      <t>ビョウトウ</t>
    </rPh>
    <phoneticPr fontId="2"/>
  </si>
  <si>
    <t>パンツ2サイズ選択</t>
    <rPh sb="7" eb="9">
      <t>センタク</t>
    </rPh>
    <phoneticPr fontId="2"/>
  </si>
  <si>
    <t>山田　清美</t>
    <rPh sb="0" eb="2">
      <t>ヤマダ</t>
    </rPh>
    <rPh sb="3" eb="5">
      <t>キヨミ</t>
    </rPh>
    <phoneticPr fontId="2"/>
  </si>
  <si>
    <t>やまだ　きよみ</t>
  </si>
  <si>
    <t>UQW1058-93</t>
  </si>
  <si>
    <t>SS</t>
  </si>
  <si>
    <t>鳥山　和香子</t>
    <rPh sb="0" eb="2">
      <t>トリヤマ</t>
    </rPh>
    <rPh sb="3" eb="6">
      <t>ワカコ</t>
    </rPh>
    <phoneticPr fontId="2"/>
  </si>
  <si>
    <t>とりやま　わかこ</t>
  </si>
  <si>
    <t>LL</t>
  </si>
  <si>
    <t>奥谷　亜梨沙</t>
    <rPh sb="0" eb="2">
      <t>オクタニ</t>
    </rPh>
    <rPh sb="3" eb="6">
      <t>アリサ</t>
    </rPh>
    <phoneticPr fontId="2"/>
  </si>
  <si>
    <t>おくたに　ありさ</t>
  </si>
  <si>
    <t>関井　沙弥佳</t>
    <rPh sb="0" eb="2">
      <t>セキイ</t>
    </rPh>
    <rPh sb="3" eb="4">
      <t>サ</t>
    </rPh>
    <rPh sb="4" eb="5">
      <t>ヤ</t>
    </rPh>
    <rPh sb="5" eb="6">
      <t>カ</t>
    </rPh>
    <phoneticPr fontId="2"/>
  </si>
  <si>
    <t>せきい　さやか</t>
  </si>
  <si>
    <t>L</t>
  </si>
  <si>
    <t>佐藤　和歌子</t>
    <rPh sb="0" eb="2">
      <t>サトウ</t>
    </rPh>
    <rPh sb="3" eb="6">
      <t>ワカコ</t>
    </rPh>
    <phoneticPr fontId="2"/>
  </si>
  <si>
    <t>さとう　わかこ</t>
  </si>
  <si>
    <t>K-JJ-5</t>
  </si>
  <si>
    <t>K-P-5</t>
  </si>
  <si>
    <t>半野　香織</t>
    <rPh sb="0" eb="2">
      <t>ハンノ</t>
    </rPh>
    <rPh sb="3" eb="5">
      <t>カオリ</t>
    </rPh>
    <phoneticPr fontId="2"/>
  </si>
  <si>
    <t>はんの　かおり</t>
  </si>
  <si>
    <t>深井　真夕子</t>
    <rPh sb="0" eb="2">
      <t>フカイ</t>
    </rPh>
    <rPh sb="3" eb="4">
      <t>マ</t>
    </rPh>
    <rPh sb="4" eb="5">
      <t>ユウ</t>
    </rPh>
    <rPh sb="5" eb="6">
      <t>コ</t>
    </rPh>
    <phoneticPr fontId="2"/>
  </si>
  <si>
    <t>ふかい　まゆこ</t>
  </si>
  <si>
    <t>佐光　とし美</t>
    <rPh sb="0" eb="2">
      <t>サコウ</t>
    </rPh>
    <rPh sb="5" eb="6">
      <t>ミ</t>
    </rPh>
    <phoneticPr fontId="2"/>
  </si>
  <si>
    <t>さこう　としみ</t>
  </si>
  <si>
    <t>中屋　ひとみ</t>
    <rPh sb="0" eb="2">
      <t>ナカヤ</t>
    </rPh>
    <phoneticPr fontId="2"/>
  </si>
  <si>
    <t>なかや　ひとみ</t>
  </si>
  <si>
    <t>田井　裕子</t>
    <rPh sb="0" eb="2">
      <t>タイ</t>
    </rPh>
    <rPh sb="3" eb="5">
      <t>ユウコ</t>
    </rPh>
    <phoneticPr fontId="2"/>
  </si>
  <si>
    <t>たい　ゆうこ</t>
  </si>
  <si>
    <t>髙橋　千里</t>
    <rPh sb="0" eb="2">
      <t>タカハシ</t>
    </rPh>
    <rPh sb="3" eb="5">
      <t>チサト</t>
    </rPh>
    <phoneticPr fontId="2"/>
  </si>
  <si>
    <t>たかはし　ちさと</t>
  </si>
  <si>
    <t>山田　佳子</t>
    <rPh sb="0" eb="2">
      <t>ヤマダ</t>
    </rPh>
    <rPh sb="3" eb="5">
      <t>ヨシコ</t>
    </rPh>
    <phoneticPr fontId="2"/>
  </si>
  <si>
    <t>やまだ　よしこ</t>
  </si>
  <si>
    <t>谷口　めぐみ</t>
    <rPh sb="0" eb="2">
      <t>タニグチ</t>
    </rPh>
    <phoneticPr fontId="2"/>
  </si>
  <si>
    <t>たにぐち　めぐみ</t>
  </si>
  <si>
    <t>森田　美紀</t>
    <rPh sb="0" eb="2">
      <t>モリタ</t>
    </rPh>
    <rPh sb="3" eb="5">
      <t>ミキ</t>
    </rPh>
    <phoneticPr fontId="2"/>
  </si>
  <si>
    <t>もりた　みき</t>
  </si>
  <si>
    <t>松木　育子</t>
    <rPh sb="0" eb="2">
      <t>マツキ</t>
    </rPh>
    <rPh sb="3" eb="5">
      <t>イクコ</t>
    </rPh>
    <phoneticPr fontId="2"/>
  </si>
  <si>
    <t>まつき　いくこ</t>
  </si>
  <si>
    <t>辻上　麻美</t>
    <rPh sb="0" eb="2">
      <t>ツジガミ</t>
    </rPh>
    <rPh sb="3" eb="5">
      <t>マミ</t>
    </rPh>
    <phoneticPr fontId="2"/>
  </si>
  <si>
    <t>つじがみ　まみ</t>
  </si>
  <si>
    <t>野田　美紀</t>
    <rPh sb="0" eb="2">
      <t>ノダ</t>
    </rPh>
    <rPh sb="3" eb="5">
      <t>ミキ</t>
    </rPh>
    <phoneticPr fontId="2"/>
  </si>
  <si>
    <t>のだ　みき</t>
  </si>
  <si>
    <t>5L</t>
  </si>
  <si>
    <t>4L</t>
  </si>
  <si>
    <t>山根　朋子</t>
    <rPh sb="0" eb="2">
      <t>ヤマネ</t>
    </rPh>
    <rPh sb="3" eb="5">
      <t>トモコ</t>
    </rPh>
    <phoneticPr fontId="2"/>
  </si>
  <si>
    <t>やまね　ともこ</t>
  </si>
  <si>
    <t>外来</t>
    <rPh sb="0" eb="2">
      <t>ガイライ</t>
    </rPh>
    <phoneticPr fontId="2"/>
  </si>
  <si>
    <t>鯰谷　真里</t>
    <rPh sb="0" eb="1">
      <t>ナマズ</t>
    </rPh>
    <rPh sb="1" eb="2">
      <t>タニ</t>
    </rPh>
    <rPh sb="3" eb="5">
      <t>マリ</t>
    </rPh>
    <phoneticPr fontId="2"/>
  </si>
  <si>
    <t>なまずたに　まり</t>
  </si>
  <si>
    <t>元茂　佳奈</t>
    <rPh sb="0" eb="2">
      <t>モトシゲ</t>
    </rPh>
    <rPh sb="3" eb="4">
      <t>カ</t>
    </rPh>
    <rPh sb="4" eb="5">
      <t>ナ</t>
    </rPh>
    <phoneticPr fontId="2"/>
  </si>
  <si>
    <t>もとしげ　かな</t>
  </si>
  <si>
    <t>徳岡　美佳</t>
    <rPh sb="0" eb="2">
      <t>トクオカ</t>
    </rPh>
    <rPh sb="3" eb="5">
      <t>ミカ</t>
    </rPh>
    <phoneticPr fontId="2"/>
  </si>
  <si>
    <t>とくおか　みか</t>
  </si>
  <si>
    <t>小畑　幸</t>
    <rPh sb="0" eb="2">
      <t>オバタ</t>
    </rPh>
    <rPh sb="3" eb="4">
      <t>サチ</t>
    </rPh>
    <phoneticPr fontId="2"/>
  </si>
  <si>
    <t>こばた　みゆき</t>
  </si>
  <si>
    <t>中村　和司</t>
    <rPh sb="0" eb="2">
      <t>ナカムラ</t>
    </rPh>
    <rPh sb="3" eb="5">
      <t>カズシ</t>
    </rPh>
    <phoneticPr fontId="2"/>
  </si>
  <si>
    <t>なかむら　かずし</t>
  </si>
  <si>
    <t>男</t>
    <rPh sb="0" eb="1">
      <t>オトコ</t>
    </rPh>
    <phoneticPr fontId="2"/>
  </si>
  <si>
    <t>K-DS-5</t>
  </si>
  <si>
    <t>森川　まり</t>
    <rPh sb="0" eb="2">
      <t>モリカワ</t>
    </rPh>
    <phoneticPr fontId="2"/>
  </si>
  <si>
    <t>もりかわ　まり</t>
  </si>
  <si>
    <t>看護助手</t>
    <rPh sb="0" eb="2">
      <t>カンゴ</t>
    </rPh>
    <rPh sb="2" eb="4">
      <t>ジョシュ</t>
    </rPh>
    <phoneticPr fontId="2"/>
  </si>
  <si>
    <t>KJ-S-5</t>
  </si>
  <si>
    <t>KJ-P-5</t>
  </si>
  <si>
    <t>UQM1540-7</t>
  </si>
  <si>
    <t>UP17002V-5</t>
  </si>
  <si>
    <t>海地　由美子</t>
    <rPh sb="0" eb="1">
      <t>ウミ</t>
    </rPh>
    <rPh sb="1" eb="2">
      <t>チ</t>
    </rPh>
    <rPh sb="3" eb="6">
      <t>ユミコ</t>
    </rPh>
    <phoneticPr fontId="2"/>
  </si>
  <si>
    <t>かいち　ゆみこ</t>
  </si>
  <si>
    <t>宮本　静代</t>
    <rPh sb="0" eb="2">
      <t>ミヤモト</t>
    </rPh>
    <rPh sb="3" eb="5">
      <t>シズヨ</t>
    </rPh>
    <phoneticPr fontId="2"/>
  </si>
  <si>
    <t>みやもと　しずよ</t>
  </si>
  <si>
    <t>バヤルマー</t>
  </si>
  <si>
    <t>ばやるまー</t>
  </si>
  <si>
    <t>小山　房代</t>
    <rPh sb="0" eb="2">
      <t>コヤマ</t>
    </rPh>
    <rPh sb="3" eb="5">
      <t>フサヨ</t>
    </rPh>
    <phoneticPr fontId="2"/>
  </si>
  <si>
    <t>こやま　ふさよ</t>
  </si>
  <si>
    <t>堂下　恭平</t>
    <rPh sb="0" eb="2">
      <t>ドウシタ</t>
    </rPh>
    <rPh sb="3" eb="5">
      <t>キョウヘイ</t>
    </rPh>
    <phoneticPr fontId="2"/>
  </si>
  <si>
    <t>どうした　きょうへい</t>
  </si>
  <si>
    <t>土井　敦史</t>
    <rPh sb="0" eb="2">
      <t>ドイ</t>
    </rPh>
    <rPh sb="3" eb="5">
      <t>アツシ</t>
    </rPh>
    <phoneticPr fontId="2"/>
  </si>
  <si>
    <t>どい　あつし</t>
  </si>
  <si>
    <t>久保田　辰也</t>
    <rPh sb="0" eb="3">
      <t>クボタ</t>
    </rPh>
    <rPh sb="4" eb="6">
      <t>タツヤ</t>
    </rPh>
    <phoneticPr fontId="2"/>
  </si>
  <si>
    <t>くぼた　たつや</t>
  </si>
  <si>
    <t>小野　亜子</t>
    <rPh sb="0" eb="2">
      <t>オノ</t>
    </rPh>
    <rPh sb="3" eb="5">
      <t>アコ</t>
    </rPh>
    <phoneticPr fontId="2"/>
  </si>
  <si>
    <t>おの　あこ</t>
  </si>
  <si>
    <t>クラーク</t>
  </si>
  <si>
    <t>UQW1056-593</t>
  </si>
  <si>
    <t>UQW2037V-5</t>
  </si>
  <si>
    <t>杉本　久美子</t>
    <rPh sb="0" eb="2">
      <t>スギモト</t>
    </rPh>
    <rPh sb="3" eb="6">
      <t>クミコ</t>
    </rPh>
    <phoneticPr fontId="2"/>
  </si>
  <si>
    <t>すぎもと　くみこ</t>
  </si>
  <si>
    <t>高田　直子</t>
    <rPh sb="0" eb="2">
      <t>タカダ</t>
    </rPh>
    <rPh sb="3" eb="5">
      <t>ナオコ</t>
    </rPh>
    <phoneticPr fontId="2"/>
  </si>
  <si>
    <t>たかだ　なおこ</t>
  </si>
  <si>
    <t>CL-J-5</t>
  </si>
  <si>
    <t>CL-P-5</t>
  </si>
  <si>
    <t>藤本　秀美</t>
    <rPh sb="0" eb="2">
      <t>フジモト</t>
    </rPh>
    <rPh sb="3" eb="5">
      <t>ヒデミ</t>
    </rPh>
    <phoneticPr fontId="2"/>
  </si>
  <si>
    <t>ふじもと　ひでみ</t>
  </si>
  <si>
    <t>宰所　美恵子</t>
    <rPh sb="0" eb="1">
      <t>サイ</t>
    </rPh>
    <rPh sb="1" eb="2">
      <t>ショ</t>
    </rPh>
    <rPh sb="3" eb="6">
      <t>ミエコ</t>
    </rPh>
    <phoneticPr fontId="2"/>
  </si>
  <si>
    <t>さいしょ　みえこ</t>
  </si>
  <si>
    <t>准看護師</t>
    <rPh sb="0" eb="4">
      <t>ジュンカンゴシ</t>
    </rPh>
    <phoneticPr fontId="2"/>
  </si>
  <si>
    <t>氏名</t>
    <rPh sb="0" eb="2">
      <t>シメイ</t>
    </rPh>
    <phoneticPr fontId="2"/>
  </si>
  <si>
    <t>ふりがな</t>
  </si>
  <si>
    <t>職種</t>
    <rPh sb="0" eb="2">
      <t>ショクシュ</t>
    </rPh>
    <phoneticPr fontId="2"/>
  </si>
  <si>
    <t>部署</t>
    <rPh sb="0" eb="2">
      <t>ブショ</t>
    </rPh>
    <phoneticPr fontId="2"/>
  </si>
  <si>
    <t>枚数</t>
    <rPh sb="0" eb="2">
      <t>マイスウ</t>
    </rPh>
    <phoneticPr fontId="2"/>
  </si>
  <si>
    <t>上衣品番</t>
    <rPh sb="0" eb="2">
      <t>ジョウイ</t>
    </rPh>
    <rPh sb="2" eb="4">
      <t>ヒンバン</t>
    </rPh>
    <phoneticPr fontId="2"/>
  </si>
  <si>
    <t>上衣サイズ</t>
    <rPh sb="0" eb="2">
      <t>ジョウイ</t>
    </rPh>
    <phoneticPr fontId="2"/>
  </si>
  <si>
    <t>下衣品番</t>
    <rPh sb="0" eb="2">
      <t>カイ</t>
    </rPh>
    <rPh sb="2" eb="4">
      <t>ヒンバン</t>
    </rPh>
    <phoneticPr fontId="2"/>
  </si>
  <si>
    <t>下衣サイズ</t>
    <rPh sb="0" eb="2">
      <t>カイ</t>
    </rPh>
    <phoneticPr fontId="2"/>
  </si>
  <si>
    <t>股下</t>
    <rPh sb="0" eb="2">
      <t>マタシタ</t>
    </rPh>
    <phoneticPr fontId="2"/>
  </si>
  <si>
    <t>松田病院　ユニフォーム明細</t>
    <rPh sb="0" eb="2">
      <t>マツダ</t>
    </rPh>
    <rPh sb="2" eb="4">
      <t>ビョウイン</t>
    </rPh>
    <rPh sb="11" eb="13">
      <t>メイサイ</t>
    </rPh>
    <phoneticPr fontId="3"/>
  </si>
  <si>
    <t>月分</t>
    <rPh sb="0" eb="1">
      <t>ツキ</t>
    </rPh>
    <rPh sb="1" eb="2">
      <t>ブン</t>
    </rPh>
    <phoneticPr fontId="3"/>
  </si>
  <si>
    <t>2月末退職</t>
    <rPh sb="1" eb="3">
      <t>ガツマツ</t>
    </rPh>
    <rPh sb="3" eb="5">
      <t>タイショク</t>
    </rPh>
    <phoneticPr fontId="3"/>
  </si>
  <si>
    <t>M2/S3</t>
    <phoneticPr fontId="3"/>
  </si>
  <si>
    <t>3/24退職</t>
    <rPh sb="4" eb="6">
      <t>タイショク</t>
    </rPh>
    <phoneticPr fontId="2"/>
  </si>
  <si>
    <t>3/24退職</t>
    <rPh sb="4" eb="6">
      <t>タイショク</t>
    </rPh>
    <phoneticPr fontId="3"/>
  </si>
  <si>
    <t>田輪　香子</t>
    <rPh sb="0" eb="1">
      <t>タ</t>
    </rPh>
    <rPh sb="1" eb="2">
      <t>ワ</t>
    </rPh>
    <rPh sb="3" eb="5">
      <t>キョウコ</t>
    </rPh>
    <phoneticPr fontId="3"/>
  </si>
  <si>
    <t>たわ　きょうこ</t>
    <phoneticPr fontId="3"/>
  </si>
  <si>
    <t>看護師</t>
    <rPh sb="0" eb="3">
      <t>カンゴシ</t>
    </rPh>
    <phoneticPr fontId="3"/>
  </si>
  <si>
    <t>女</t>
    <rPh sb="0" eb="1">
      <t>オンナ</t>
    </rPh>
    <phoneticPr fontId="3"/>
  </si>
  <si>
    <t>S</t>
    <phoneticPr fontId="3"/>
  </si>
  <si>
    <t>M</t>
    <phoneticPr fontId="3"/>
  </si>
  <si>
    <t>4/1入職</t>
    <rPh sb="3" eb="5">
      <t>ニュウショク</t>
    </rPh>
    <phoneticPr fontId="3"/>
  </si>
  <si>
    <t>石田　唯</t>
    <rPh sb="0" eb="2">
      <t>イシダ</t>
    </rPh>
    <rPh sb="3" eb="4">
      <t>ユイ</t>
    </rPh>
    <phoneticPr fontId="3"/>
  </si>
  <si>
    <t>いしだ　ゆい</t>
    <phoneticPr fontId="3"/>
  </si>
  <si>
    <t>K-JJ-5</t>
    <phoneticPr fontId="3"/>
  </si>
  <si>
    <t>K-P-5</t>
    <phoneticPr fontId="3"/>
  </si>
  <si>
    <t>S</t>
    <phoneticPr fontId="3"/>
  </si>
  <si>
    <t>5/1入職</t>
    <rPh sb="3" eb="5">
      <t>ニュウショク</t>
    </rPh>
    <phoneticPr fontId="3"/>
  </si>
  <si>
    <t>永田　栞</t>
    <rPh sb="0" eb="2">
      <t>ナガタ</t>
    </rPh>
    <rPh sb="3" eb="4">
      <t>シオリ</t>
    </rPh>
    <phoneticPr fontId="3"/>
  </si>
  <si>
    <t>ながた　しおり</t>
    <phoneticPr fontId="3"/>
  </si>
  <si>
    <t>吉塚　由起子</t>
    <rPh sb="0" eb="2">
      <t>ヨシヅカ</t>
    </rPh>
    <rPh sb="3" eb="6">
      <t>ユキコ</t>
    </rPh>
    <phoneticPr fontId="3"/>
  </si>
  <si>
    <t>よしづかゆきこ</t>
    <phoneticPr fontId="3"/>
  </si>
  <si>
    <t>看護師</t>
    <rPh sb="0" eb="3">
      <t>カンゴシ</t>
    </rPh>
    <phoneticPr fontId="3"/>
  </si>
  <si>
    <t>K-JJ-2</t>
    <phoneticPr fontId="3"/>
  </si>
  <si>
    <t>K-P-2</t>
    <phoneticPr fontId="3"/>
  </si>
  <si>
    <t>UQW1058-93</t>
    <phoneticPr fontId="3"/>
  </si>
  <si>
    <t>LL</t>
    <phoneticPr fontId="3"/>
  </si>
  <si>
    <t>UQM2106-1</t>
    <phoneticPr fontId="3"/>
  </si>
  <si>
    <t>L</t>
    <phoneticPr fontId="3"/>
  </si>
  <si>
    <t>5/1入職</t>
    <rPh sb="3" eb="5">
      <t>ニュウショク</t>
    </rPh>
    <phoneticPr fontId="3"/>
  </si>
  <si>
    <t>4/30退職</t>
    <rPh sb="4" eb="6">
      <t>タイショク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</si>
</sst>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38" fontId="8" fillId="0" borderId="0" xfId="1" applyFo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38" fontId="7" fillId="0" borderId="13" xfId="1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38" fontId="7" fillId="0" borderId="5" xfId="1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38" fontId="7" fillId="0" borderId="3" xfId="1" applyFont="1" applyBorder="1" applyAlignment="1">
      <alignment horizontal="center" vertical="center"/>
    </xf>
    <xf numFmtId="38" fontId="7" fillId="0" borderId="20" xfId="1" applyFont="1" applyBorder="1" applyAlignment="1">
      <alignment horizontal="center" vertical="center"/>
    </xf>
    <xf numFmtId="38" fontId="7" fillId="0" borderId="8" xfId="1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38" fontId="7" fillId="0" borderId="1" xfId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38" fontId="7" fillId="0" borderId="27" xfId="1" applyFont="1" applyBorder="1" applyAlignment="1">
      <alignment horizontal="center" vertical="center"/>
    </xf>
    <xf numFmtId="38" fontId="7" fillId="0" borderId="28" xfId="1" applyFont="1" applyBorder="1" applyAlignment="1">
      <alignment horizontal="center" vertical="center"/>
    </xf>
    <xf numFmtId="38" fontId="7" fillId="0" borderId="29" xfId="1" applyFont="1" applyBorder="1" applyAlignment="1">
      <alignment horizontal="center" vertical="center"/>
    </xf>
    <xf numFmtId="0" fontId="8" fillId="0" borderId="0" xfId="2" applyFont="1">
      <alignment vertical="center"/>
    </xf>
    <xf numFmtId="0" fontId="8" fillId="0" borderId="0" xfId="2" applyFont="1" applyAlignment="1">
      <alignment horizontal="center" vertical="center"/>
    </xf>
    <xf numFmtId="38" fontId="8" fillId="0" borderId="0" xfId="1" applyFont="1" applyBorder="1" applyAlignment="1">
      <alignment horizontal="center" vertical="center"/>
    </xf>
    <xf numFmtId="38" fontId="7" fillId="0" borderId="30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38" fontId="7" fillId="0" borderId="13" xfId="1" applyFont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0" borderId="0" xfId="0" applyFont="1" applyAlignment="1"/>
    <xf numFmtId="0" fontId="0" fillId="0" borderId="7" xfId="0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7" fillId="0" borderId="2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7" fillId="0" borderId="21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19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2" xfId="2" xr:uid="{7D33D5E5-D33B-413A-B42D-793626BA15FA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6DEC-27D8-4BA3-AD6D-CB200A5A8100}">
  <dimension ref="A1:H65"/>
  <sheetViews>
    <sheetView view="pageBreakPreview" zoomScale="70" zoomScaleNormal="70" zoomScaleSheetLayoutView="70" workbookViewId="0">
      <selection activeCell="E3" sqref="E3"/>
    </sheetView>
  </sheetViews>
  <sheetFormatPr defaultRowHeight="19.5" x14ac:dyDescent="0.4"/>
  <cols>
    <col min="1" max="1" width="12.125" style="6" bestFit="1" customWidth="1"/>
    <col min="2" max="2" width="25.5" style="6" bestFit="1" customWidth="1"/>
    <col min="3" max="3" width="15.875" style="6" bestFit="1" customWidth="1"/>
    <col min="4" max="4" width="10" style="7" bestFit="1" customWidth="1"/>
    <col min="5" max="5" width="10" style="8" bestFit="1" customWidth="1"/>
    <col min="6" max="6" width="12.125" style="6" bestFit="1" customWidth="1"/>
    <col min="7" max="7" width="6" style="6" customWidth="1"/>
    <col min="8" max="8" width="9" style="8"/>
    <col min="9" max="16384" width="9" style="6"/>
  </cols>
  <sheetData>
    <row r="1" spans="1:8" x14ac:dyDescent="0.4">
      <c r="B1" s="35" t="s">
        <v>232</v>
      </c>
      <c r="C1" s="35"/>
      <c r="D1" s="35"/>
      <c r="E1" s="35"/>
      <c r="F1" s="35"/>
    </row>
    <row r="2" spans="1:8" x14ac:dyDescent="0.4">
      <c r="A2" s="35"/>
      <c r="C2" s="35"/>
      <c r="D2" s="30" t="s">
        <v>107</v>
      </c>
      <c r="E2" s="39">
        <v>5</v>
      </c>
      <c r="F2" s="35" t="s">
        <v>233</v>
      </c>
    </row>
    <row r="3" spans="1:8" ht="20.25" thickBot="1" x14ac:dyDescent="0.45"/>
    <row r="4" spans="1:8" ht="39.75" thickBot="1" x14ac:dyDescent="0.45">
      <c r="A4" s="9" t="s">
        <v>19</v>
      </c>
      <c r="B4" s="10" t="s">
        <v>47</v>
      </c>
      <c r="C4" s="11" t="s">
        <v>48</v>
      </c>
      <c r="D4" s="12" t="s">
        <v>49</v>
      </c>
      <c r="E4" s="31" t="s">
        <v>104</v>
      </c>
      <c r="F4" s="13" t="s">
        <v>50</v>
      </c>
      <c r="G4" s="12" t="s">
        <v>102</v>
      </c>
      <c r="H4" s="31" t="s">
        <v>103</v>
      </c>
    </row>
    <row r="5" spans="1:8" ht="22.5" customHeight="1" x14ac:dyDescent="0.4">
      <c r="A5" s="56" t="s">
        <v>51</v>
      </c>
      <c r="B5" s="48" t="s">
        <v>52</v>
      </c>
      <c r="C5" s="51" t="s">
        <v>11</v>
      </c>
      <c r="D5" s="14">
        <v>5</v>
      </c>
      <c r="E5" s="15">
        <v>1250</v>
      </c>
      <c r="F5" s="15" t="s">
        <v>31</v>
      </c>
      <c r="G5" s="14">
        <f>COUNTIF(元データ!$H:$H,F5)</f>
        <v>21</v>
      </c>
      <c r="H5" s="15">
        <f>E5*G5</f>
        <v>26250</v>
      </c>
    </row>
    <row r="6" spans="1:8" ht="22.5" customHeight="1" x14ac:dyDescent="0.4">
      <c r="A6" s="57"/>
      <c r="B6" s="49"/>
      <c r="C6" s="52"/>
      <c r="D6" s="16">
        <v>4</v>
      </c>
      <c r="E6" s="17">
        <v>1110</v>
      </c>
      <c r="F6" s="18" t="s">
        <v>30</v>
      </c>
      <c r="G6" s="16">
        <f>COUNTIF(元データ!$H:$H,F6)</f>
        <v>0</v>
      </c>
      <c r="H6" s="17">
        <f t="shared" ref="H6:H64" si="0">E6*G6</f>
        <v>0</v>
      </c>
    </row>
    <row r="7" spans="1:8" ht="22.5" customHeight="1" x14ac:dyDescent="0.4">
      <c r="A7" s="57"/>
      <c r="B7" s="49"/>
      <c r="C7" s="52"/>
      <c r="D7" s="16">
        <v>3</v>
      </c>
      <c r="E7" s="17">
        <v>970</v>
      </c>
      <c r="F7" s="19" t="s">
        <v>29</v>
      </c>
      <c r="G7" s="16">
        <f>COUNTIF(元データ!$H:$H,F7)</f>
        <v>2</v>
      </c>
      <c r="H7" s="17">
        <f t="shared" si="0"/>
        <v>1940</v>
      </c>
    </row>
    <row r="8" spans="1:8" ht="22.5" customHeight="1" x14ac:dyDescent="0.4">
      <c r="A8" s="57"/>
      <c r="B8" s="49"/>
      <c r="C8" s="52"/>
      <c r="D8" s="16">
        <v>2</v>
      </c>
      <c r="E8" s="17">
        <v>830</v>
      </c>
      <c r="F8" s="18" t="s">
        <v>28</v>
      </c>
      <c r="G8" s="16">
        <f>COUNTIF(元データ!$H:$H,F8)</f>
        <v>3</v>
      </c>
      <c r="H8" s="17">
        <f t="shared" si="0"/>
        <v>2490</v>
      </c>
    </row>
    <row r="9" spans="1:8" ht="22.5" customHeight="1" thickBot="1" x14ac:dyDescent="0.45">
      <c r="A9" s="57"/>
      <c r="B9" s="50"/>
      <c r="C9" s="53"/>
      <c r="D9" s="20">
        <v>1</v>
      </c>
      <c r="E9" s="21">
        <v>680</v>
      </c>
      <c r="F9" s="19" t="s">
        <v>53</v>
      </c>
      <c r="G9" s="20">
        <f>COUNTIF(元データ!$H:$H,F9)</f>
        <v>0</v>
      </c>
      <c r="H9" s="21">
        <f t="shared" si="0"/>
        <v>0</v>
      </c>
    </row>
    <row r="10" spans="1:8" ht="22.5" customHeight="1" x14ac:dyDescent="0.4">
      <c r="A10" s="57"/>
      <c r="B10" s="48" t="s">
        <v>54</v>
      </c>
      <c r="C10" s="51" t="s">
        <v>7</v>
      </c>
      <c r="D10" s="22">
        <v>5</v>
      </c>
      <c r="E10" s="15">
        <v>1250</v>
      </c>
      <c r="F10" s="15" t="s">
        <v>27</v>
      </c>
      <c r="G10" s="22">
        <f>COUNTIF(元データ!$H:$H,F10)</f>
        <v>1</v>
      </c>
      <c r="H10" s="15">
        <f t="shared" si="0"/>
        <v>1250</v>
      </c>
    </row>
    <row r="11" spans="1:8" ht="22.5" customHeight="1" x14ac:dyDescent="0.4">
      <c r="A11" s="57"/>
      <c r="B11" s="49"/>
      <c r="C11" s="52"/>
      <c r="D11" s="16">
        <v>4</v>
      </c>
      <c r="E11" s="17">
        <v>1110</v>
      </c>
      <c r="F11" s="18" t="s">
        <v>55</v>
      </c>
      <c r="G11" s="16">
        <f>COUNTIF(元データ!$H:$H,F11)</f>
        <v>0</v>
      </c>
      <c r="H11" s="17">
        <f t="shared" si="0"/>
        <v>0</v>
      </c>
    </row>
    <row r="12" spans="1:8" ht="22.5" customHeight="1" x14ac:dyDescent="0.4">
      <c r="A12" s="57"/>
      <c r="B12" s="49"/>
      <c r="C12" s="52"/>
      <c r="D12" s="16">
        <v>3</v>
      </c>
      <c r="E12" s="17">
        <v>970</v>
      </c>
      <c r="F12" s="19" t="s">
        <v>56</v>
      </c>
      <c r="G12" s="16">
        <f>COUNTIF(元データ!$H:$H,F12)</f>
        <v>0</v>
      </c>
      <c r="H12" s="17">
        <f t="shared" si="0"/>
        <v>0</v>
      </c>
    </row>
    <row r="13" spans="1:8" ht="22.5" customHeight="1" x14ac:dyDescent="0.4">
      <c r="A13" s="57"/>
      <c r="B13" s="49"/>
      <c r="C13" s="52"/>
      <c r="D13" s="16">
        <v>2</v>
      </c>
      <c r="E13" s="17">
        <v>830</v>
      </c>
      <c r="F13" s="18" t="s">
        <v>57</v>
      </c>
      <c r="G13" s="16">
        <f>COUNTIF(元データ!$H:$H,F13)</f>
        <v>0</v>
      </c>
      <c r="H13" s="17">
        <f t="shared" si="0"/>
        <v>0</v>
      </c>
    </row>
    <row r="14" spans="1:8" ht="22.5" customHeight="1" thickBot="1" x14ac:dyDescent="0.45">
      <c r="A14" s="57"/>
      <c r="B14" s="50"/>
      <c r="C14" s="53"/>
      <c r="D14" s="20">
        <v>1</v>
      </c>
      <c r="E14" s="21">
        <v>680</v>
      </c>
      <c r="F14" s="19" t="s">
        <v>26</v>
      </c>
      <c r="G14" s="20">
        <f>COUNTIF(元データ!$H:$H,F14)</f>
        <v>0</v>
      </c>
      <c r="H14" s="21">
        <f t="shared" si="0"/>
        <v>0</v>
      </c>
    </row>
    <row r="15" spans="1:8" ht="22.5" customHeight="1" x14ac:dyDescent="0.4">
      <c r="A15" s="57"/>
      <c r="B15" s="48" t="s">
        <v>58</v>
      </c>
      <c r="C15" s="51" t="s">
        <v>6</v>
      </c>
      <c r="D15" s="22">
        <v>5</v>
      </c>
      <c r="E15" s="15">
        <v>1200</v>
      </c>
      <c r="F15" s="15" t="s">
        <v>36</v>
      </c>
      <c r="G15" s="32">
        <f>COUNTIF(元データ!$I:$I,F15)</f>
        <v>22</v>
      </c>
      <c r="H15" s="15">
        <f t="shared" si="0"/>
        <v>26400</v>
      </c>
    </row>
    <row r="16" spans="1:8" ht="22.5" customHeight="1" x14ac:dyDescent="0.4">
      <c r="A16" s="57"/>
      <c r="B16" s="49"/>
      <c r="C16" s="52"/>
      <c r="D16" s="16">
        <v>4</v>
      </c>
      <c r="E16" s="17">
        <v>1070</v>
      </c>
      <c r="F16" s="18" t="s">
        <v>35</v>
      </c>
      <c r="G16" s="33">
        <f>COUNTIF(元データ!$I:$I,F16)</f>
        <v>0</v>
      </c>
      <c r="H16" s="17">
        <f t="shared" si="0"/>
        <v>0</v>
      </c>
    </row>
    <row r="17" spans="1:8" ht="22.5" customHeight="1" x14ac:dyDescent="0.4">
      <c r="A17" s="57"/>
      <c r="B17" s="49"/>
      <c r="C17" s="52"/>
      <c r="D17" s="16">
        <v>3</v>
      </c>
      <c r="E17" s="17">
        <v>940</v>
      </c>
      <c r="F17" s="19" t="s">
        <v>34</v>
      </c>
      <c r="G17" s="33">
        <f>COUNTIF(元データ!$I:$I,F17)</f>
        <v>2</v>
      </c>
      <c r="H17" s="17">
        <f t="shared" si="0"/>
        <v>1880</v>
      </c>
    </row>
    <row r="18" spans="1:8" ht="22.5" customHeight="1" x14ac:dyDescent="0.4">
      <c r="A18" s="57"/>
      <c r="B18" s="49"/>
      <c r="C18" s="52"/>
      <c r="D18" s="16">
        <v>2</v>
      </c>
      <c r="E18" s="17">
        <v>810</v>
      </c>
      <c r="F18" s="18" t="s">
        <v>33</v>
      </c>
      <c r="G18" s="33">
        <f>COUNTIF(元データ!$I:$I,F18)</f>
        <v>3</v>
      </c>
      <c r="H18" s="17">
        <f t="shared" si="0"/>
        <v>2430</v>
      </c>
    </row>
    <row r="19" spans="1:8" ht="22.5" customHeight="1" thickBot="1" x14ac:dyDescent="0.45">
      <c r="A19" s="58"/>
      <c r="B19" s="50"/>
      <c r="C19" s="53"/>
      <c r="D19" s="20">
        <v>1</v>
      </c>
      <c r="E19" s="21">
        <v>670</v>
      </c>
      <c r="F19" s="19" t="s">
        <v>32</v>
      </c>
      <c r="G19" s="34">
        <f>COUNTIF(元データ!$I:$I,F19)</f>
        <v>0</v>
      </c>
      <c r="H19" s="21">
        <f t="shared" si="0"/>
        <v>0</v>
      </c>
    </row>
    <row r="20" spans="1:8" ht="22.5" customHeight="1" x14ac:dyDescent="0.4">
      <c r="A20" s="55" t="s">
        <v>59</v>
      </c>
      <c r="B20" s="48" t="s">
        <v>60</v>
      </c>
      <c r="C20" s="51" t="s">
        <v>5</v>
      </c>
      <c r="D20" s="22">
        <v>5</v>
      </c>
      <c r="E20" s="15">
        <v>1250</v>
      </c>
      <c r="F20" s="15" t="s">
        <v>39</v>
      </c>
      <c r="G20" s="22">
        <f>COUNTIF(元データ!$H:$H,F20)</f>
        <v>6</v>
      </c>
      <c r="H20" s="15">
        <f t="shared" si="0"/>
        <v>7500</v>
      </c>
    </row>
    <row r="21" spans="1:8" ht="22.5" customHeight="1" x14ac:dyDescent="0.4">
      <c r="A21" s="46"/>
      <c r="B21" s="49"/>
      <c r="C21" s="52"/>
      <c r="D21" s="16">
        <v>4</v>
      </c>
      <c r="E21" s="17">
        <v>1110</v>
      </c>
      <c r="F21" s="18" t="s">
        <v>38</v>
      </c>
      <c r="G21" s="16">
        <f>COUNTIF(元データ!$H:$H,F21)</f>
        <v>0</v>
      </c>
      <c r="H21" s="17">
        <f t="shared" si="0"/>
        <v>0</v>
      </c>
    </row>
    <row r="22" spans="1:8" ht="22.5" customHeight="1" x14ac:dyDescent="0.4">
      <c r="A22" s="46"/>
      <c r="B22" s="49"/>
      <c r="C22" s="52"/>
      <c r="D22" s="16">
        <v>3</v>
      </c>
      <c r="E22" s="17">
        <v>970</v>
      </c>
      <c r="F22" s="19" t="s">
        <v>37</v>
      </c>
      <c r="G22" s="16">
        <f>COUNTIF(元データ!$H:$H,F22)</f>
        <v>0</v>
      </c>
      <c r="H22" s="17">
        <f t="shared" si="0"/>
        <v>0</v>
      </c>
    </row>
    <row r="23" spans="1:8" ht="22.5" customHeight="1" x14ac:dyDescent="0.4">
      <c r="A23" s="46"/>
      <c r="B23" s="49"/>
      <c r="C23" s="52"/>
      <c r="D23" s="16">
        <v>2</v>
      </c>
      <c r="E23" s="17">
        <v>830</v>
      </c>
      <c r="F23" s="18" t="s">
        <v>61</v>
      </c>
      <c r="G23" s="16">
        <f>COUNTIF(元データ!$H:$H,F23)</f>
        <v>0</v>
      </c>
      <c r="H23" s="17">
        <f t="shared" si="0"/>
        <v>0</v>
      </c>
    </row>
    <row r="24" spans="1:8" ht="22.5" customHeight="1" thickBot="1" x14ac:dyDescent="0.45">
      <c r="A24" s="46"/>
      <c r="B24" s="50"/>
      <c r="C24" s="53"/>
      <c r="D24" s="20">
        <v>1</v>
      </c>
      <c r="E24" s="21">
        <v>680</v>
      </c>
      <c r="F24" s="19" t="s">
        <v>62</v>
      </c>
      <c r="G24" s="20">
        <f>COUNTIF(元データ!$H:$H,F24)</f>
        <v>0</v>
      </c>
      <c r="H24" s="21">
        <f t="shared" si="0"/>
        <v>0</v>
      </c>
    </row>
    <row r="25" spans="1:8" ht="22.5" customHeight="1" x14ac:dyDescent="0.4">
      <c r="A25" s="46"/>
      <c r="B25" s="48" t="s">
        <v>58</v>
      </c>
      <c r="C25" s="51" t="s">
        <v>4</v>
      </c>
      <c r="D25" s="22">
        <v>5</v>
      </c>
      <c r="E25" s="15">
        <v>1200</v>
      </c>
      <c r="F25" s="15" t="s">
        <v>42</v>
      </c>
      <c r="G25" s="32">
        <f>COUNTIF(元データ!$I:$I,F25)</f>
        <v>6</v>
      </c>
      <c r="H25" s="15">
        <f t="shared" si="0"/>
        <v>7200</v>
      </c>
    </row>
    <row r="26" spans="1:8" ht="22.5" customHeight="1" x14ac:dyDescent="0.4">
      <c r="A26" s="46"/>
      <c r="B26" s="49"/>
      <c r="C26" s="52"/>
      <c r="D26" s="16">
        <v>4</v>
      </c>
      <c r="E26" s="17">
        <v>1070</v>
      </c>
      <c r="F26" s="18" t="s">
        <v>41</v>
      </c>
      <c r="G26" s="33">
        <f>COUNTIF(元データ!$I:$I,F26)</f>
        <v>0</v>
      </c>
      <c r="H26" s="17">
        <f t="shared" si="0"/>
        <v>0</v>
      </c>
    </row>
    <row r="27" spans="1:8" ht="22.5" customHeight="1" x14ac:dyDescent="0.4">
      <c r="A27" s="46"/>
      <c r="B27" s="49"/>
      <c r="C27" s="52"/>
      <c r="D27" s="16">
        <v>3</v>
      </c>
      <c r="E27" s="17">
        <v>940</v>
      </c>
      <c r="F27" s="19" t="s">
        <v>40</v>
      </c>
      <c r="G27" s="33">
        <f>COUNTIF(元データ!$I:$I,F27)</f>
        <v>0</v>
      </c>
      <c r="H27" s="17">
        <f t="shared" si="0"/>
        <v>0</v>
      </c>
    </row>
    <row r="28" spans="1:8" ht="22.5" customHeight="1" x14ac:dyDescent="0.4">
      <c r="A28" s="46"/>
      <c r="B28" s="49"/>
      <c r="C28" s="52"/>
      <c r="D28" s="16">
        <v>2</v>
      </c>
      <c r="E28" s="17">
        <v>810</v>
      </c>
      <c r="F28" s="18" t="s">
        <v>63</v>
      </c>
      <c r="G28" s="33">
        <f>COUNTIF(元データ!$I:$I,F28)</f>
        <v>0</v>
      </c>
      <c r="H28" s="17">
        <f t="shared" si="0"/>
        <v>0</v>
      </c>
    </row>
    <row r="29" spans="1:8" ht="22.5" customHeight="1" thickBot="1" x14ac:dyDescent="0.45">
      <c r="A29" s="47"/>
      <c r="B29" s="50"/>
      <c r="C29" s="53"/>
      <c r="D29" s="20">
        <v>1</v>
      </c>
      <c r="E29" s="21">
        <v>670</v>
      </c>
      <c r="F29" s="19" t="s">
        <v>64</v>
      </c>
      <c r="G29" s="34">
        <f>COUNTIF(元データ!$I:$I,F29)</f>
        <v>0</v>
      </c>
      <c r="H29" s="21">
        <f t="shared" si="0"/>
        <v>0</v>
      </c>
    </row>
    <row r="30" spans="1:8" ht="22.5" customHeight="1" x14ac:dyDescent="0.4">
      <c r="A30" s="55" t="s">
        <v>10</v>
      </c>
      <c r="B30" s="48" t="s">
        <v>52</v>
      </c>
      <c r="C30" s="51" t="s">
        <v>9</v>
      </c>
      <c r="D30" s="22">
        <v>5</v>
      </c>
      <c r="E30" s="15">
        <v>1250</v>
      </c>
      <c r="F30" s="15" t="s">
        <v>43</v>
      </c>
      <c r="G30" s="22">
        <f>COUNTIF(元データ!$H:$H,F30)</f>
        <v>2</v>
      </c>
      <c r="H30" s="15">
        <f t="shared" si="0"/>
        <v>2500</v>
      </c>
    </row>
    <row r="31" spans="1:8" ht="22.5" customHeight="1" x14ac:dyDescent="0.4">
      <c r="A31" s="46"/>
      <c r="B31" s="49"/>
      <c r="C31" s="52"/>
      <c r="D31" s="16">
        <v>4</v>
      </c>
      <c r="E31" s="17">
        <v>1110</v>
      </c>
      <c r="F31" s="18" t="s">
        <v>65</v>
      </c>
      <c r="G31" s="16">
        <f>COUNTIF(元データ!$H:$H,F31)</f>
        <v>0</v>
      </c>
      <c r="H31" s="17">
        <f t="shared" si="0"/>
        <v>0</v>
      </c>
    </row>
    <row r="32" spans="1:8" ht="22.5" customHeight="1" x14ac:dyDescent="0.4">
      <c r="A32" s="46"/>
      <c r="B32" s="49"/>
      <c r="C32" s="52"/>
      <c r="D32" s="16">
        <v>3</v>
      </c>
      <c r="E32" s="17">
        <v>970</v>
      </c>
      <c r="F32" s="19" t="s">
        <v>66</v>
      </c>
      <c r="G32" s="16">
        <f>COUNTIF(元データ!$H:$H,F32)</f>
        <v>2</v>
      </c>
      <c r="H32" s="17">
        <f t="shared" si="0"/>
        <v>1940</v>
      </c>
    </row>
    <row r="33" spans="1:8" ht="22.5" customHeight="1" x14ac:dyDescent="0.4">
      <c r="A33" s="46"/>
      <c r="B33" s="49"/>
      <c r="C33" s="52"/>
      <c r="D33" s="16">
        <v>2</v>
      </c>
      <c r="E33" s="17">
        <v>830</v>
      </c>
      <c r="F33" s="18" t="s">
        <v>67</v>
      </c>
      <c r="G33" s="16">
        <f>COUNTIF(元データ!$H:$H,F33)</f>
        <v>0</v>
      </c>
      <c r="H33" s="17">
        <f t="shared" si="0"/>
        <v>0</v>
      </c>
    </row>
    <row r="34" spans="1:8" ht="22.5" customHeight="1" thickBot="1" x14ac:dyDescent="0.45">
      <c r="A34" s="46"/>
      <c r="B34" s="50"/>
      <c r="C34" s="53"/>
      <c r="D34" s="20">
        <v>1</v>
      </c>
      <c r="E34" s="21">
        <v>680</v>
      </c>
      <c r="F34" s="19" t="s">
        <v>68</v>
      </c>
      <c r="G34" s="20">
        <f>COUNTIF(元データ!$H:$H,F34)</f>
        <v>0</v>
      </c>
      <c r="H34" s="21">
        <f t="shared" si="0"/>
        <v>0</v>
      </c>
    </row>
    <row r="35" spans="1:8" ht="22.5" customHeight="1" x14ac:dyDescent="0.4">
      <c r="A35" s="46"/>
      <c r="B35" s="48" t="s">
        <v>69</v>
      </c>
      <c r="C35" s="51" t="s">
        <v>8</v>
      </c>
      <c r="D35" s="22">
        <v>5</v>
      </c>
      <c r="E35" s="15">
        <v>1200</v>
      </c>
      <c r="F35" s="23" t="s">
        <v>44</v>
      </c>
      <c r="G35" s="32">
        <f>COUNTIF(元データ!$I:$I,F35)</f>
        <v>2</v>
      </c>
      <c r="H35" s="15">
        <f t="shared" si="0"/>
        <v>2400</v>
      </c>
    </row>
    <row r="36" spans="1:8" ht="22.5" customHeight="1" x14ac:dyDescent="0.4">
      <c r="A36" s="46"/>
      <c r="B36" s="49"/>
      <c r="C36" s="52"/>
      <c r="D36" s="16">
        <v>4</v>
      </c>
      <c r="E36" s="17">
        <v>1070</v>
      </c>
      <c r="F36" s="18" t="s">
        <v>70</v>
      </c>
      <c r="G36" s="33">
        <f>COUNTIF(元データ!$I:$I,F36)</f>
        <v>0</v>
      </c>
      <c r="H36" s="17">
        <f t="shared" si="0"/>
        <v>0</v>
      </c>
    </row>
    <row r="37" spans="1:8" ht="22.5" customHeight="1" x14ac:dyDescent="0.4">
      <c r="A37" s="46"/>
      <c r="B37" s="49"/>
      <c r="C37" s="52"/>
      <c r="D37" s="16">
        <v>3</v>
      </c>
      <c r="E37" s="17">
        <v>940</v>
      </c>
      <c r="F37" s="24" t="s">
        <v>71</v>
      </c>
      <c r="G37" s="33">
        <f>COUNTIF(元データ!$I:$I,F37)</f>
        <v>2</v>
      </c>
      <c r="H37" s="17">
        <f t="shared" si="0"/>
        <v>1880</v>
      </c>
    </row>
    <row r="38" spans="1:8" ht="22.5" customHeight="1" x14ac:dyDescent="0.4">
      <c r="A38" s="46"/>
      <c r="B38" s="49"/>
      <c r="C38" s="52"/>
      <c r="D38" s="16">
        <v>2</v>
      </c>
      <c r="E38" s="17">
        <v>810</v>
      </c>
      <c r="F38" s="18" t="s">
        <v>72</v>
      </c>
      <c r="G38" s="33">
        <f>COUNTIF(元データ!$I:$I,F38)</f>
        <v>0</v>
      </c>
      <c r="H38" s="17">
        <f t="shared" si="0"/>
        <v>0</v>
      </c>
    </row>
    <row r="39" spans="1:8" ht="22.5" customHeight="1" thickBot="1" x14ac:dyDescent="0.45">
      <c r="A39" s="47"/>
      <c r="B39" s="50"/>
      <c r="C39" s="53"/>
      <c r="D39" s="20">
        <v>1</v>
      </c>
      <c r="E39" s="21">
        <v>670</v>
      </c>
      <c r="F39" s="25" t="s">
        <v>73</v>
      </c>
      <c r="G39" s="34">
        <f>COUNTIF(元データ!$I:$I,F39)</f>
        <v>0</v>
      </c>
      <c r="H39" s="21">
        <f t="shared" si="0"/>
        <v>0</v>
      </c>
    </row>
    <row r="40" spans="1:8" ht="22.5" customHeight="1" x14ac:dyDescent="0.4">
      <c r="A40" s="54" t="s">
        <v>105</v>
      </c>
      <c r="B40" s="48" t="s">
        <v>52</v>
      </c>
      <c r="C40" s="51" t="s">
        <v>74</v>
      </c>
      <c r="D40" s="22">
        <v>5</v>
      </c>
      <c r="E40" s="15">
        <v>1230</v>
      </c>
      <c r="F40" s="15" t="s">
        <v>75</v>
      </c>
      <c r="G40" s="22">
        <f>COUNTIF(元データ!$H:$H,F40)</f>
        <v>0</v>
      </c>
      <c r="H40" s="15">
        <f t="shared" si="0"/>
        <v>0</v>
      </c>
    </row>
    <row r="41" spans="1:8" ht="22.5" customHeight="1" x14ac:dyDescent="0.4">
      <c r="A41" s="46"/>
      <c r="B41" s="49"/>
      <c r="C41" s="52"/>
      <c r="D41" s="16">
        <v>4</v>
      </c>
      <c r="E41" s="17">
        <v>1100</v>
      </c>
      <c r="F41" s="18" t="s">
        <v>76</v>
      </c>
      <c r="G41" s="16">
        <f>COUNTIF(元データ!$H:$H,F41)</f>
        <v>0</v>
      </c>
      <c r="H41" s="17">
        <f t="shared" si="0"/>
        <v>0</v>
      </c>
    </row>
    <row r="42" spans="1:8" ht="22.5" customHeight="1" x14ac:dyDescent="0.4">
      <c r="A42" s="46"/>
      <c r="B42" s="49"/>
      <c r="C42" s="52"/>
      <c r="D42" s="16">
        <v>3</v>
      </c>
      <c r="E42" s="17">
        <v>960</v>
      </c>
      <c r="F42" s="19" t="s">
        <v>77</v>
      </c>
      <c r="G42" s="16">
        <f>COUNTIF(元データ!$H:$H,F42)</f>
        <v>0</v>
      </c>
      <c r="H42" s="17">
        <f t="shared" si="0"/>
        <v>0</v>
      </c>
    </row>
    <row r="43" spans="1:8" ht="22.5" customHeight="1" x14ac:dyDescent="0.4">
      <c r="A43" s="46"/>
      <c r="B43" s="49"/>
      <c r="C43" s="52"/>
      <c r="D43" s="16">
        <v>2</v>
      </c>
      <c r="E43" s="17">
        <v>820</v>
      </c>
      <c r="F43" s="18" t="s">
        <v>78</v>
      </c>
      <c r="G43" s="16">
        <f>COUNTIF(元データ!$H:$H,F43)</f>
        <v>0</v>
      </c>
      <c r="H43" s="17">
        <f t="shared" si="0"/>
        <v>0</v>
      </c>
    </row>
    <row r="44" spans="1:8" ht="22.5" customHeight="1" thickBot="1" x14ac:dyDescent="0.45">
      <c r="A44" s="46"/>
      <c r="B44" s="50"/>
      <c r="C44" s="53"/>
      <c r="D44" s="20">
        <v>1</v>
      </c>
      <c r="E44" s="21">
        <v>670</v>
      </c>
      <c r="F44" s="19" t="s">
        <v>79</v>
      </c>
      <c r="G44" s="20">
        <f>COUNTIF(元データ!$H:$H,F44)</f>
        <v>0</v>
      </c>
      <c r="H44" s="21">
        <f t="shared" si="0"/>
        <v>0</v>
      </c>
    </row>
    <row r="45" spans="1:8" ht="22.5" customHeight="1" x14ac:dyDescent="0.4">
      <c r="A45" s="46"/>
      <c r="B45" s="48" t="s">
        <v>58</v>
      </c>
      <c r="C45" s="51" t="s">
        <v>6</v>
      </c>
      <c r="D45" s="22">
        <v>5</v>
      </c>
      <c r="E45" s="15">
        <v>1200</v>
      </c>
      <c r="F45" s="15" t="s">
        <v>80</v>
      </c>
      <c r="G45" s="32">
        <f>COUNTIF(元データ!$I:$I,F45)</f>
        <v>0</v>
      </c>
      <c r="H45" s="15">
        <f t="shared" si="0"/>
        <v>0</v>
      </c>
    </row>
    <row r="46" spans="1:8" ht="22.5" customHeight="1" x14ac:dyDescent="0.4">
      <c r="A46" s="46"/>
      <c r="B46" s="49"/>
      <c r="C46" s="52"/>
      <c r="D46" s="16">
        <v>4</v>
      </c>
      <c r="E46" s="17">
        <v>1070</v>
      </c>
      <c r="F46" s="18" t="s">
        <v>81</v>
      </c>
      <c r="G46" s="33">
        <f>COUNTIF(元データ!$I:$I,F46)</f>
        <v>0</v>
      </c>
      <c r="H46" s="17">
        <f t="shared" si="0"/>
        <v>0</v>
      </c>
    </row>
    <row r="47" spans="1:8" ht="22.5" customHeight="1" x14ac:dyDescent="0.4">
      <c r="A47" s="46"/>
      <c r="B47" s="49"/>
      <c r="C47" s="52"/>
      <c r="D47" s="16">
        <v>3</v>
      </c>
      <c r="E47" s="17">
        <v>940</v>
      </c>
      <c r="F47" s="19" t="s">
        <v>82</v>
      </c>
      <c r="G47" s="33">
        <f>COUNTIF(元データ!$I:$I,F47)</f>
        <v>0</v>
      </c>
      <c r="H47" s="17">
        <f t="shared" si="0"/>
        <v>0</v>
      </c>
    </row>
    <row r="48" spans="1:8" ht="22.5" customHeight="1" x14ac:dyDescent="0.4">
      <c r="A48" s="46"/>
      <c r="B48" s="49"/>
      <c r="C48" s="52"/>
      <c r="D48" s="16">
        <v>2</v>
      </c>
      <c r="E48" s="17">
        <v>810</v>
      </c>
      <c r="F48" s="18" t="s">
        <v>83</v>
      </c>
      <c r="G48" s="33">
        <f>COUNTIF(元データ!$I:$I,F48)</f>
        <v>0</v>
      </c>
      <c r="H48" s="17">
        <f t="shared" si="0"/>
        <v>0</v>
      </c>
    </row>
    <row r="49" spans="1:8" ht="22.5" customHeight="1" thickBot="1" x14ac:dyDescent="0.45">
      <c r="A49" s="47"/>
      <c r="B49" s="50"/>
      <c r="C49" s="53"/>
      <c r="D49" s="20">
        <v>1</v>
      </c>
      <c r="E49" s="21">
        <v>670</v>
      </c>
      <c r="F49" s="19" t="s">
        <v>84</v>
      </c>
      <c r="G49" s="34">
        <f>COUNTIF(元データ!$I:$I,F49)</f>
        <v>0</v>
      </c>
      <c r="H49" s="21">
        <f t="shared" si="0"/>
        <v>0</v>
      </c>
    </row>
    <row r="50" spans="1:8" ht="22.5" customHeight="1" x14ac:dyDescent="0.4">
      <c r="A50" s="45" t="s">
        <v>85</v>
      </c>
      <c r="B50" s="48" t="s">
        <v>86</v>
      </c>
      <c r="C50" s="51" t="s">
        <v>3</v>
      </c>
      <c r="D50" s="14">
        <v>5</v>
      </c>
      <c r="E50" s="15">
        <v>1250</v>
      </c>
      <c r="F50" s="15" t="s">
        <v>87</v>
      </c>
      <c r="G50" s="14">
        <f>COUNTIF(元データ!$H:$H,F50)</f>
        <v>3</v>
      </c>
      <c r="H50" s="15">
        <f t="shared" si="0"/>
        <v>3750</v>
      </c>
    </row>
    <row r="51" spans="1:8" ht="22.5" customHeight="1" x14ac:dyDescent="0.4">
      <c r="A51" s="46"/>
      <c r="B51" s="49"/>
      <c r="C51" s="52"/>
      <c r="D51" s="16">
        <v>4</v>
      </c>
      <c r="E51" s="17">
        <v>1110</v>
      </c>
      <c r="F51" s="18" t="s">
        <v>88</v>
      </c>
      <c r="G51" s="16">
        <f>COUNTIF(元データ!$H:$H,F51)</f>
        <v>0</v>
      </c>
      <c r="H51" s="17">
        <f t="shared" si="0"/>
        <v>0</v>
      </c>
    </row>
    <row r="52" spans="1:8" ht="22.5" customHeight="1" x14ac:dyDescent="0.4">
      <c r="A52" s="46"/>
      <c r="B52" s="49"/>
      <c r="C52" s="52"/>
      <c r="D52" s="16">
        <v>3</v>
      </c>
      <c r="E52" s="17">
        <v>970</v>
      </c>
      <c r="F52" s="19" t="s">
        <v>45</v>
      </c>
      <c r="G52" s="16">
        <f>COUNTIF(元データ!$H:$H,F52)</f>
        <v>0</v>
      </c>
      <c r="H52" s="17">
        <f t="shared" si="0"/>
        <v>0</v>
      </c>
    </row>
    <row r="53" spans="1:8" ht="22.5" customHeight="1" x14ac:dyDescent="0.4">
      <c r="A53" s="46"/>
      <c r="B53" s="49"/>
      <c r="C53" s="52"/>
      <c r="D53" s="16">
        <v>2</v>
      </c>
      <c r="E53" s="17">
        <v>830</v>
      </c>
      <c r="F53" s="18" t="s">
        <v>89</v>
      </c>
      <c r="G53" s="16">
        <f>COUNTIF(元データ!$H:$H,F53)</f>
        <v>0</v>
      </c>
      <c r="H53" s="17">
        <f t="shared" si="0"/>
        <v>0</v>
      </c>
    </row>
    <row r="54" spans="1:8" ht="22.5" customHeight="1" thickBot="1" x14ac:dyDescent="0.45">
      <c r="A54" s="46"/>
      <c r="B54" s="50"/>
      <c r="C54" s="53"/>
      <c r="D54" s="20">
        <v>1</v>
      </c>
      <c r="E54" s="21">
        <v>680</v>
      </c>
      <c r="F54" s="19" t="s">
        <v>90</v>
      </c>
      <c r="G54" s="20">
        <f>COUNTIF(元データ!$H:$H,F54)</f>
        <v>0</v>
      </c>
      <c r="H54" s="21">
        <f t="shared" si="0"/>
        <v>0</v>
      </c>
    </row>
    <row r="55" spans="1:8" ht="22.5" customHeight="1" x14ac:dyDescent="0.4">
      <c r="A55" s="46"/>
      <c r="B55" s="48" t="s">
        <v>69</v>
      </c>
      <c r="C55" s="51" t="s">
        <v>91</v>
      </c>
      <c r="D55" s="22">
        <v>5</v>
      </c>
      <c r="E55" s="15">
        <v>1200</v>
      </c>
      <c r="F55" s="15" t="s">
        <v>92</v>
      </c>
      <c r="G55" s="32">
        <f>COUNTIF(元データ!$I:$I,F55)</f>
        <v>0</v>
      </c>
      <c r="H55" s="15">
        <f t="shared" si="0"/>
        <v>0</v>
      </c>
    </row>
    <row r="56" spans="1:8" ht="22.5" customHeight="1" x14ac:dyDescent="0.4">
      <c r="A56" s="46"/>
      <c r="B56" s="49"/>
      <c r="C56" s="52"/>
      <c r="D56" s="16">
        <v>4</v>
      </c>
      <c r="E56" s="17">
        <v>1070</v>
      </c>
      <c r="F56" s="18" t="s">
        <v>93</v>
      </c>
      <c r="G56" s="33">
        <f>COUNTIF(元データ!$I:$I,F56)</f>
        <v>0</v>
      </c>
      <c r="H56" s="17">
        <f t="shared" si="0"/>
        <v>0</v>
      </c>
    </row>
    <row r="57" spans="1:8" ht="22.5" customHeight="1" x14ac:dyDescent="0.4">
      <c r="A57" s="46"/>
      <c r="B57" s="49"/>
      <c r="C57" s="52"/>
      <c r="D57" s="16">
        <v>3</v>
      </c>
      <c r="E57" s="17">
        <v>940</v>
      </c>
      <c r="F57" s="19" t="s">
        <v>94</v>
      </c>
      <c r="G57" s="33">
        <f>COUNTIF(元データ!$I:$I,F57)</f>
        <v>0</v>
      </c>
      <c r="H57" s="17">
        <f t="shared" si="0"/>
        <v>0</v>
      </c>
    </row>
    <row r="58" spans="1:8" ht="22.5" customHeight="1" x14ac:dyDescent="0.4">
      <c r="A58" s="46"/>
      <c r="B58" s="49"/>
      <c r="C58" s="52"/>
      <c r="D58" s="16">
        <v>2</v>
      </c>
      <c r="E58" s="17">
        <v>810</v>
      </c>
      <c r="F58" s="18" t="s">
        <v>95</v>
      </c>
      <c r="G58" s="33">
        <f>COUNTIF(元データ!$I:$I,F58)</f>
        <v>0</v>
      </c>
      <c r="H58" s="17">
        <f t="shared" si="0"/>
        <v>0</v>
      </c>
    </row>
    <row r="59" spans="1:8" ht="22.5" customHeight="1" thickBot="1" x14ac:dyDescent="0.45">
      <c r="A59" s="46"/>
      <c r="B59" s="50"/>
      <c r="C59" s="53"/>
      <c r="D59" s="20">
        <v>1</v>
      </c>
      <c r="E59" s="21">
        <v>670</v>
      </c>
      <c r="F59" s="19" t="s">
        <v>96</v>
      </c>
      <c r="G59" s="34">
        <f>COUNTIF(元データ!$I:$I,F59)</f>
        <v>0</v>
      </c>
      <c r="H59" s="21">
        <f t="shared" si="0"/>
        <v>0</v>
      </c>
    </row>
    <row r="60" spans="1:8" ht="22.5" customHeight="1" x14ac:dyDescent="0.4">
      <c r="A60" s="46"/>
      <c r="B60" s="48" t="s">
        <v>97</v>
      </c>
      <c r="C60" s="51" t="s">
        <v>2</v>
      </c>
      <c r="D60" s="22">
        <v>5</v>
      </c>
      <c r="E60" s="15">
        <v>1200</v>
      </c>
      <c r="F60" s="15" t="s">
        <v>98</v>
      </c>
      <c r="G60" s="32">
        <f>COUNTIF(元データ!$I:$I,F60)</f>
        <v>3</v>
      </c>
      <c r="H60" s="15">
        <f t="shared" si="0"/>
        <v>3600</v>
      </c>
    </row>
    <row r="61" spans="1:8" ht="22.5" customHeight="1" x14ac:dyDescent="0.4">
      <c r="A61" s="46"/>
      <c r="B61" s="49"/>
      <c r="C61" s="52"/>
      <c r="D61" s="16">
        <v>4</v>
      </c>
      <c r="E61" s="17">
        <v>1070</v>
      </c>
      <c r="F61" s="18" t="s">
        <v>99</v>
      </c>
      <c r="G61" s="33">
        <f>COUNTIF(元データ!$I:$I,F61)</f>
        <v>0</v>
      </c>
      <c r="H61" s="17">
        <f t="shared" si="0"/>
        <v>0</v>
      </c>
    </row>
    <row r="62" spans="1:8" ht="22.5" customHeight="1" x14ac:dyDescent="0.4">
      <c r="A62" s="46"/>
      <c r="B62" s="49"/>
      <c r="C62" s="52"/>
      <c r="D62" s="16">
        <v>3</v>
      </c>
      <c r="E62" s="17">
        <v>940</v>
      </c>
      <c r="F62" s="19" t="s">
        <v>46</v>
      </c>
      <c r="G62" s="33">
        <f>COUNTIF(元データ!$I:$I,F62)</f>
        <v>0</v>
      </c>
      <c r="H62" s="17">
        <f t="shared" si="0"/>
        <v>0</v>
      </c>
    </row>
    <row r="63" spans="1:8" ht="22.5" customHeight="1" x14ac:dyDescent="0.4">
      <c r="A63" s="46"/>
      <c r="B63" s="49"/>
      <c r="C63" s="52"/>
      <c r="D63" s="16">
        <v>2</v>
      </c>
      <c r="E63" s="17">
        <v>810</v>
      </c>
      <c r="F63" s="18" t="s">
        <v>100</v>
      </c>
      <c r="G63" s="33">
        <f>COUNTIF(元データ!$I:$I,F63)</f>
        <v>0</v>
      </c>
      <c r="H63" s="17">
        <f t="shared" si="0"/>
        <v>0</v>
      </c>
    </row>
    <row r="64" spans="1:8" ht="22.5" customHeight="1" thickBot="1" x14ac:dyDescent="0.45">
      <c r="A64" s="47"/>
      <c r="B64" s="50"/>
      <c r="C64" s="53"/>
      <c r="D64" s="20">
        <v>1</v>
      </c>
      <c r="E64" s="21">
        <v>670</v>
      </c>
      <c r="F64" s="29" t="s">
        <v>101</v>
      </c>
      <c r="G64" s="34">
        <f>COUNTIF(元データ!$I:$I,F64)</f>
        <v>0</v>
      </c>
      <c r="H64" s="21">
        <f t="shared" si="0"/>
        <v>0</v>
      </c>
    </row>
    <row r="65" spans="1:8" ht="22.5" customHeight="1" thickBot="1" x14ac:dyDescent="0.45">
      <c r="A65" s="7"/>
      <c r="B65" s="26"/>
      <c r="C65" s="26"/>
      <c r="D65" s="27"/>
      <c r="E65" s="28"/>
      <c r="F65" s="29" t="s">
        <v>106</v>
      </c>
      <c r="G65" s="20">
        <f>SUM(G5:G64)</f>
        <v>80</v>
      </c>
      <c r="H65" s="21">
        <f>SUM(H5:H64)</f>
        <v>93410</v>
      </c>
    </row>
  </sheetData>
  <mergeCells count="29">
    <mergeCell ref="A5:A19"/>
    <mergeCell ref="B5:B9"/>
    <mergeCell ref="C5:C9"/>
    <mergeCell ref="B10:B14"/>
    <mergeCell ref="C10:C14"/>
    <mergeCell ref="B15:B19"/>
    <mergeCell ref="C15:C19"/>
    <mergeCell ref="A30:A39"/>
    <mergeCell ref="B30:B34"/>
    <mergeCell ref="C30:C34"/>
    <mergeCell ref="B35:B39"/>
    <mergeCell ref="C35:C39"/>
    <mergeCell ref="A20:A29"/>
    <mergeCell ref="B20:B24"/>
    <mergeCell ref="C20:C24"/>
    <mergeCell ref="B25:B29"/>
    <mergeCell ref="C25:C29"/>
    <mergeCell ref="A40:A49"/>
    <mergeCell ref="B40:B44"/>
    <mergeCell ref="C40:C44"/>
    <mergeCell ref="B45:B49"/>
    <mergeCell ref="C45:C49"/>
    <mergeCell ref="A50:A64"/>
    <mergeCell ref="B50:B54"/>
    <mergeCell ref="C50:C54"/>
    <mergeCell ref="B55:B59"/>
    <mergeCell ref="C55:C59"/>
    <mergeCell ref="B60:B64"/>
    <mergeCell ref="C60:C64"/>
  </mergeCells>
  <phoneticPr fontId="3"/>
  <conditionalFormatting sqref="G1:H1048576">
    <cfRule type="cellIs" dxfId="0" priority="1" operator="equal">
      <formula>0</formula>
    </cfRule>
  </conditionalFormatting>
  <printOptions horizontalCentered="1"/>
  <pageMargins left="0.70866141732283472" right="0.70866141732283472" top="0.51181102362204722" bottom="0.47244094488188981" header="0.31496062992125984" footer="0.31496062992125984"/>
  <pageSetup paperSize="9" scale="79" fitToHeight="2" orientation="portrait" r:id="rId1"/>
  <rowBreaks count="1" manualBreakCount="1">
    <brk id="39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D584-55CB-4F04-8AF0-C44306B3DF40}">
  <sheetPr>
    <tabColor rgb="FFFF5B5B"/>
    <pageSetUpPr fitToPage="1"/>
  </sheetPr>
  <dimension ref="A1:Q49"/>
  <sheetViews>
    <sheetView tabSelected="1" topLeftCell="A19" zoomScaleNormal="100" workbookViewId="0">
      <selection activeCell="O8" sqref="O8"/>
    </sheetView>
  </sheetViews>
  <sheetFormatPr defaultRowHeight="18.75" x14ac:dyDescent="0.4"/>
  <cols>
    <col min="1" max="1" width="3.75" customWidth="1"/>
    <col min="2" max="2" width="11.875" customWidth="1"/>
    <col min="3" max="3" width="14.5" customWidth="1"/>
    <col min="4" max="5" width="9.5" customWidth="1"/>
    <col min="6" max="7" width="9.875" customWidth="1"/>
    <col min="8" max="8" width="9.875" style="4" customWidth="1"/>
    <col min="9" max="9" width="14.375" style="5" customWidth="1"/>
    <col min="10" max="10" width="14.375" bestFit="1" customWidth="1"/>
    <col min="11" max="11" width="14.375" style="1" customWidth="1"/>
    <col min="12" max="12" width="14.375" customWidth="1"/>
    <col min="13" max="13" width="12.75" style="1" bestFit="1" customWidth="1"/>
    <col min="14" max="14" width="9" style="1"/>
    <col min="15" max="15" width="10" bestFit="1" customWidth="1"/>
  </cols>
  <sheetData>
    <row r="1" spans="1:17" x14ac:dyDescent="0.4">
      <c r="A1" s="36"/>
      <c r="B1" s="2" t="s">
        <v>21</v>
      </c>
      <c r="C1" s="2" t="s">
        <v>20</v>
      </c>
      <c r="D1" s="2" t="s">
        <v>19</v>
      </c>
      <c r="E1" s="2" t="s">
        <v>25</v>
      </c>
      <c r="F1" s="2" t="s">
        <v>18</v>
      </c>
      <c r="G1" s="2" t="s">
        <v>17</v>
      </c>
      <c r="H1" s="37" t="s">
        <v>23</v>
      </c>
      <c r="I1" s="37" t="s">
        <v>24</v>
      </c>
      <c r="J1" s="2" t="s">
        <v>16</v>
      </c>
      <c r="K1" s="2" t="s">
        <v>15</v>
      </c>
      <c r="L1" s="2" t="s">
        <v>14</v>
      </c>
      <c r="M1" s="2" t="s">
        <v>13</v>
      </c>
      <c r="N1" s="2" t="s">
        <v>12</v>
      </c>
      <c r="O1" s="38" t="s">
        <v>22</v>
      </c>
    </row>
    <row r="2" spans="1:17" x14ac:dyDescent="0.4">
      <c r="B2" t="s">
        <v>222</v>
      </c>
      <c r="C2" t="s">
        <v>223</v>
      </c>
      <c r="D2" t="s">
        <v>224</v>
      </c>
      <c r="F2" t="s">
        <v>225</v>
      </c>
      <c r="G2" t="s">
        <v>226</v>
      </c>
      <c r="J2" t="s">
        <v>227</v>
      </c>
      <c r="K2" s="1" t="s">
        <v>228</v>
      </c>
      <c r="L2" t="s">
        <v>229</v>
      </c>
      <c r="M2" s="1" t="s">
        <v>230</v>
      </c>
      <c r="N2" s="1" t="s">
        <v>231</v>
      </c>
    </row>
    <row r="3" spans="1:17" x14ac:dyDescent="0.4">
      <c r="A3">
        <v>37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>
        <v>5</v>
      </c>
      <c r="H3" s="4" t="s">
        <v>113</v>
      </c>
      <c r="I3" s="5" t="s">
        <v>114</v>
      </c>
      <c r="J3" t="s">
        <v>115</v>
      </c>
      <c r="K3" s="1" t="s">
        <v>116</v>
      </c>
      <c r="L3" t="s">
        <v>117</v>
      </c>
      <c r="M3" s="1">
        <v>11</v>
      </c>
      <c r="N3" s="1">
        <v>70</v>
      </c>
    </row>
    <row r="4" spans="1:17" x14ac:dyDescent="0.4">
      <c r="A4">
        <v>38</v>
      </c>
      <c r="B4" t="s">
        <v>118</v>
      </c>
      <c r="C4" t="s">
        <v>119</v>
      </c>
      <c r="D4" t="s">
        <v>110</v>
      </c>
      <c r="E4" t="s">
        <v>111</v>
      </c>
      <c r="F4" t="s">
        <v>112</v>
      </c>
      <c r="G4">
        <v>5</v>
      </c>
      <c r="H4" s="4" t="s">
        <v>113</v>
      </c>
      <c r="I4" s="5" t="s">
        <v>114</v>
      </c>
      <c r="J4" t="s">
        <v>115</v>
      </c>
      <c r="K4" s="1" t="s">
        <v>116</v>
      </c>
      <c r="L4" t="s">
        <v>117</v>
      </c>
      <c r="M4" s="1">
        <v>13</v>
      </c>
      <c r="N4" s="1">
        <v>76</v>
      </c>
    </row>
    <row r="5" spans="1:17" x14ac:dyDescent="0.4">
      <c r="A5">
        <v>39</v>
      </c>
      <c r="B5" t="s">
        <v>120</v>
      </c>
      <c r="C5" t="s">
        <v>121</v>
      </c>
      <c r="D5" t="s">
        <v>110</v>
      </c>
      <c r="E5" t="s">
        <v>111</v>
      </c>
      <c r="F5" t="s">
        <v>112</v>
      </c>
      <c r="G5">
        <v>5</v>
      </c>
      <c r="H5" s="4" t="s">
        <v>113</v>
      </c>
      <c r="I5" s="5" t="s">
        <v>114</v>
      </c>
      <c r="J5" t="s">
        <v>115</v>
      </c>
      <c r="K5" s="1" t="s">
        <v>122</v>
      </c>
      <c r="L5" t="s">
        <v>117</v>
      </c>
      <c r="M5" s="1">
        <v>13</v>
      </c>
      <c r="N5" s="1">
        <v>70</v>
      </c>
    </row>
    <row r="6" spans="1:17" x14ac:dyDescent="0.4">
      <c r="A6">
        <v>20</v>
      </c>
      <c r="B6" t="s">
        <v>128</v>
      </c>
      <c r="C6" t="s">
        <v>129</v>
      </c>
      <c r="D6" t="s">
        <v>125</v>
      </c>
      <c r="E6" t="s">
        <v>111</v>
      </c>
      <c r="F6" t="s">
        <v>126</v>
      </c>
      <c r="G6">
        <v>2</v>
      </c>
      <c r="H6" s="4" t="s">
        <v>28</v>
      </c>
      <c r="I6" s="5" t="s">
        <v>33</v>
      </c>
      <c r="J6" t="s">
        <v>130</v>
      </c>
      <c r="K6" s="1" t="s">
        <v>122</v>
      </c>
      <c r="L6" t="s">
        <v>0</v>
      </c>
      <c r="M6" s="1" t="s">
        <v>131</v>
      </c>
      <c r="N6" s="1">
        <v>70</v>
      </c>
      <c r="P6" s="3"/>
      <c r="Q6" s="3"/>
    </row>
    <row r="7" spans="1:17" x14ac:dyDescent="0.4">
      <c r="A7">
        <v>9</v>
      </c>
      <c r="B7" s="40" t="s">
        <v>132</v>
      </c>
      <c r="C7" s="40" t="s">
        <v>133</v>
      </c>
      <c r="D7" s="40" t="s">
        <v>125</v>
      </c>
      <c r="E7" s="40" t="s">
        <v>111</v>
      </c>
      <c r="F7" s="40" t="s">
        <v>126</v>
      </c>
      <c r="G7" s="40">
        <v>3</v>
      </c>
      <c r="H7" s="41"/>
      <c r="I7" s="42"/>
      <c r="J7" s="40" t="s">
        <v>130</v>
      </c>
      <c r="K7" s="43" t="s">
        <v>134</v>
      </c>
      <c r="L7" s="40" t="s">
        <v>0</v>
      </c>
      <c r="M7" s="43" t="s">
        <v>122</v>
      </c>
      <c r="N7" s="43">
        <v>68</v>
      </c>
      <c r="O7" t="s">
        <v>263</v>
      </c>
    </row>
    <row r="8" spans="1:17" x14ac:dyDescent="0.4">
      <c r="A8">
        <v>15</v>
      </c>
      <c r="B8" t="s">
        <v>135</v>
      </c>
      <c r="C8" t="s">
        <v>136</v>
      </c>
      <c r="D8" t="s">
        <v>125</v>
      </c>
      <c r="E8" t="s">
        <v>111</v>
      </c>
      <c r="F8" t="s">
        <v>126</v>
      </c>
      <c r="G8">
        <v>3</v>
      </c>
      <c r="H8" s="4" t="s">
        <v>29</v>
      </c>
      <c r="I8" s="5" t="s">
        <v>34</v>
      </c>
      <c r="J8" t="s">
        <v>130</v>
      </c>
      <c r="K8" s="1" t="s">
        <v>116</v>
      </c>
      <c r="L8" t="s">
        <v>0</v>
      </c>
      <c r="M8" s="1" t="s">
        <v>116</v>
      </c>
      <c r="N8" s="1">
        <v>70</v>
      </c>
      <c r="P8" s="3"/>
      <c r="Q8" s="3"/>
    </row>
    <row r="9" spans="1:17" x14ac:dyDescent="0.4">
      <c r="A9">
        <v>17</v>
      </c>
      <c r="B9" t="s">
        <v>137</v>
      </c>
      <c r="C9" t="s">
        <v>138</v>
      </c>
      <c r="D9" t="s">
        <v>125</v>
      </c>
      <c r="E9" t="s">
        <v>111</v>
      </c>
      <c r="F9" t="s">
        <v>126</v>
      </c>
      <c r="G9">
        <v>3</v>
      </c>
      <c r="H9" s="4" t="s">
        <v>29</v>
      </c>
      <c r="I9" s="5" t="s">
        <v>34</v>
      </c>
      <c r="J9" t="s">
        <v>130</v>
      </c>
      <c r="K9" s="1" t="s">
        <v>134</v>
      </c>
      <c r="L9" t="s">
        <v>0</v>
      </c>
      <c r="M9" s="1" t="s">
        <v>139</v>
      </c>
      <c r="N9" s="1">
        <v>72</v>
      </c>
    </row>
    <row r="10" spans="1:17" x14ac:dyDescent="0.4">
      <c r="A10">
        <v>1</v>
      </c>
      <c r="B10" t="s">
        <v>140</v>
      </c>
      <c r="C10" t="s">
        <v>141</v>
      </c>
      <c r="D10" t="s">
        <v>125</v>
      </c>
      <c r="E10" t="s">
        <v>111</v>
      </c>
      <c r="F10" t="s">
        <v>126</v>
      </c>
      <c r="G10">
        <v>5</v>
      </c>
      <c r="H10" s="4" t="s">
        <v>142</v>
      </c>
      <c r="I10" s="5" t="s">
        <v>143</v>
      </c>
      <c r="J10" t="s">
        <v>130</v>
      </c>
      <c r="K10" s="1" t="s">
        <v>139</v>
      </c>
      <c r="L10" t="s">
        <v>0</v>
      </c>
      <c r="M10" s="1" t="s">
        <v>116</v>
      </c>
      <c r="N10" s="1">
        <v>76</v>
      </c>
    </row>
    <row r="11" spans="1:17" x14ac:dyDescent="0.4">
      <c r="A11">
        <v>2</v>
      </c>
      <c r="B11" t="s">
        <v>144</v>
      </c>
      <c r="C11" t="s">
        <v>145</v>
      </c>
      <c r="D11" t="s">
        <v>125</v>
      </c>
      <c r="E11" t="s">
        <v>111</v>
      </c>
      <c r="F11" t="s">
        <v>126</v>
      </c>
      <c r="G11">
        <v>5</v>
      </c>
      <c r="H11" s="4" t="s">
        <v>142</v>
      </c>
      <c r="I11" s="5" t="s">
        <v>143</v>
      </c>
      <c r="J11" t="s">
        <v>130</v>
      </c>
      <c r="K11" s="1" t="s">
        <v>122</v>
      </c>
      <c r="L11" t="s">
        <v>0</v>
      </c>
      <c r="M11" s="1" t="s">
        <v>131</v>
      </c>
      <c r="N11" s="1">
        <v>64</v>
      </c>
      <c r="P11" s="3"/>
      <c r="Q11" s="3"/>
    </row>
    <row r="12" spans="1:17" x14ac:dyDescent="0.4">
      <c r="A12">
        <v>3</v>
      </c>
      <c r="B12" t="s">
        <v>146</v>
      </c>
      <c r="C12" t="s">
        <v>147</v>
      </c>
      <c r="D12" t="s">
        <v>125</v>
      </c>
      <c r="E12" t="s">
        <v>111</v>
      </c>
      <c r="F12" t="s">
        <v>126</v>
      </c>
      <c r="G12">
        <v>5</v>
      </c>
      <c r="H12" s="4" t="s">
        <v>142</v>
      </c>
      <c r="I12" s="5" t="s">
        <v>143</v>
      </c>
      <c r="J12" t="s">
        <v>130</v>
      </c>
      <c r="K12" s="1" t="s">
        <v>139</v>
      </c>
      <c r="L12" t="s">
        <v>0</v>
      </c>
      <c r="M12" s="1" t="s">
        <v>122</v>
      </c>
      <c r="N12" s="1">
        <v>66</v>
      </c>
      <c r="P12" s="3"/>
      <c r="Q12" s="3"/>
    </row>
    <row r="13" spans="1:17" x14ac:dyDescent="0.4">
      <c r="A13">
        <v>4</v>
      </c>
      <c r="B13" t="s">
        <v>148</v>
      </c>
      <c r="C13" t="s">
        <v>149</v>
      </c>
      <c r="D13" t="s">
        <v>125</v>
      </c>
      <c r="E13" t="s">
        <v>111</v>
      </c>
      <c r="F13" t="s">
        <v>126</v>
      </c>
      <c r="G13">
        <v>5</v>
      </c>
      <c r="H13" s="4" t="s">
        <v>142</v>
      </c>
      <c r="I13" s="5" t="s">
        <v>143</v>
      </c>
      <c r="J13" t="s">
        <v>130</v>
      </c>
      <c r="K13" s="1" t="s">
        <v>134</v>
      </c>
      <c r="L13" t="s">
        <v>0</v>
      </c>
      <c r="M13" s="1" t="s">
        <v>139</v>
      </c>
      <c r="N13" s="1">
        <v>82</v>
      </c>
      <c r="P13" s="3"/>
      <c r="Q13" s="3"/>
    </row>
    <row r="14" spans="1:17" x14ac:dyDescent="0.4">
      <c r="A14">
        <v>5</v>
      </c>
      <c r="B14" t="s">
        <v>150</v>
      </c>
      <c r="C14" t="s">
        <v>151</v>
      </c>
      <c r="D14" t="s">
        <v>125</v>
      </c>
      <c r="E14" t="s">
        <v>111</v>
      </c>
      <c r="F14" t="s">
        <v>126</v>
      </c>
      <c r="G14">
        <v>5</v>
      </c>
      <c r="H14" s="4" t="s">
        <v>142</v>
      </c>
      <c r="I14" s="5" t="s">
        <v>143</v>
      </c>
      <c r="J14" t="s">
        <v>130</v>
      </c>
      <c r="K14" s="1" t="s">
        <v>139</v>
      </c>
      <c r="L14" t="s">
        <v>0</v>
      </c>
      <c r="M14" s="1" t="s">
        <v>131</v>
      </c>
      <c r="N14" s="1">
        <v>64</v>
      </c>
      <c r="P14" s="3"/>
      <c r="Q14" s="3"/>
    </row>
    <row r="15" spans="1:17" x14ac:dyDescent="0.4">
      <c r="A15">
        <v>6</v>
      </c>
      <c r="B15" t="s">
        <v>152</v>
      </c>
      <c r="C15" t="s">
        <v>153</v>
      </c>
      <c r="D15" t="s">
        <v>125</v>
      </c>
      <c r="E15" t="s">
        <v>111</v>
      </c>
      <c r="F15" t="s">
        <v>126</v>
      </c>
      <c r="G15">
        <v>5</v>
      </c>
      <c r="H15" s="4" t="s">
        <v>142</v>
      </c>
      <c r="I15" s="5" t="s">
        <v>143</v>
      </c>
      <c r="J15" t="s">
        <v>130</v>
      </c>
      <c r="K15" s="1" t="s">
        <v>139</v>
      </c>
      <c r="L15" t="s">
        <v>0</v>
      </c>
      <c r="M15" s="1" t="s">
        <v>122</v>
      </c>
      <c r="N15" s="1">
        <v>70</v>
      </c>
      <c r="P15" s="3"/>
      <c r="Q15" s="3"/>
    </row>
    <row r="16" spans="1:17" x14ac:dyDescent="0.4">
      <c r="A16">
        <v>7</v>
      </c>
      <c r="B16" t="s">
        <v>154</v>
      </c>
      <c r="C16" t="s">
        <v>155</v>
      </c>
      <c r="D16" t="s">
        <v>125</v>
      </c>
      <c r="E16" t="s">
        <v>111</v>
      </c>
      <c r="F16" t="s">
        <v>126</v>
      </c>
      <c r="G16">
        <v>5</v>
      </c>
      <c r="H16" s="4" t="s">
        <v>142</v>
      </c>
      <c r="I16" s="5" t="s">
        <v>143</v>
      </c>
      <c r="J16" t="s">
        <v>130</v>
      </c>
      <c r="K16" s="1" t="s">
        <v>122</v>
      </c>
      <c r="L16" t="s">
        <v>0</v>
      </c>
      <c r="M16" s="1" t="s">
        <v>116</v>
      </c>
      <c r="N16" s="1">
        <v>70</v>
      </c>
      <c r="P16" s="3"/>
      <c r="Q16" s="3"/>
    </row>
    <row r="17" spans="1:17" x14ac:dyDescent="0.4">
      <c r="A17">
        <v>8</v>
      </c>
      <c r="B17" t="s">
        <v>156</v>
      </c>
      <c r="C17" t="s">
        <v>157</v>
      </c>
      <c r="D17" t="s">
        <v>125</v>
      </c>
      <c r="E17" t="s">
        <v>111</v>
      </c>
      <c r="F17" t="s">
        <v>126</v>
      </c>
      <c r="G17">
        <v>5</v>
      </c>
      <c r="H17" s="4" t="s">
        <v>142</v>
      </c>
      <c r="I17" s="5" t="s">
        <v>143</v>
      </c>
      <c r="J17" t="s">
        <v>130</v>
      </c>
      <c r="K17" s="1" t="s">
        <v>134</v>
      </c>
      <c r="L17" t="s">
        <v>0</v>
      </c>
      <c r="M17" s="1" t="s">
        <v>139</v>
      </c>
      <c r="N17" s="1">
        <v>70</v>
      </c>
      <c r="P17" s="3"/>
      <c r="Q17" s="3"/>
    </row>
    <row r="18" spans="1:17" x14ac:dyDescent="0.4">
      <c r="A18">
        <v>10</v>
      </c>
      <c r="B18" t="s">
        <v>158</v>
      </c>
      <c r="C18" t="s">
        <v>159</v>
      </c>
      <c r="D18" t="s">
        <v>125</v>
      </c>
      <c r="E18" t="s">
        <v>111</v>
      </c>
      <c r="F18" t="s">
        <v>126</v>
      </c>
      <c r="G18">
        <v>5</v>
      </c>
      <c r="H18" s="4" t="s">
        <v>142</v>
      </c>
      <c r="I18" s="5" t="s">
        <v>143</v>
      </c>
      <c r="J18" t="s">
        <v>130</v>
      </c>
      <c r="K18" s="1" t="s">
        <v>122</v>
      </c>
      <c r="L18" t="s">
        <v>0</v>
      </c>
      <c r="M18" s="1" t="s">
        <v>131</v>
      </c>
      <c r="N18" s="1">
        <v>68</v>
      </c>
      <c r="P18" s="3"/>
      <c r="Q18" s="3"/>
    </row>
    <row r="19" spans="1:17" x14ac:dyDescent="0.4">
      <c r="A19">
        <v>11</v>
      </c>
      <c r="B19" t="s">
        <v>160</v>
      </c>
      <c r="C19" t="s">
        <v>161</v>
      </c>
      <c r="D19" t="s">
        <v>125</v>
      </c>
      <c r="E19" t="s">
        <v>111</v>
      </c>
      <c r="F19" t="s">
        <v>126</v>
      </c>
      <c r="G19">
        <v>5</v>
      </c>
      <c r="H19" s="4" t="s">
        <v>142</v>
      </c>
      <c r="I19" s="5" t="s">
        <v>143</v>
      </c>
      <c r="J19" t="s">
        <v>130</v>
      </c>
      <c r="K19" s="1" t="s">
        <v>139</v>
      </c>
      <c r="L19" t="s">
        <v>0</v>
      </c>
      <c r="M19" s="1" t="s">
        <v>116</v>
      </c>
      <c r="N19" s="1">
        <v>68</v>
      </c>
      <c r="P19" s="3"/>
      <c r="Q19" s="3"/>
    </row>
    <row r="20" spans="1:17" x14ac:dyDescent="0.4">
      <c r="A20">
        <v>12</v>
      </c>
      <c r="B20" t="s">
        <v>123</v>
      </c>
      <c r="C20" t="s">
        <v>124</v>
      </c>
      <c r="D20" t="s">
        <v>125</v>
      </c>
      <c r="E20" t="s">
        <v>111</v>
      </c>
      <c r="F20" t="s">
        <v>126</v>
      </c>
      <c r="G20">
        <v>5</v>
      </c>
      <c r="H20" s="4" t="s">
        <v>142</v>
      </c>
      <c r="I20" s="5" t="s">
        <v>143</v>
      </c>
      <c r="J20" t="s">
        <v>130</v>
      </c>
      <c r="K20" s="1" t="s">
        <v>134</v>
      </c>
      <c r="L20" t="s">
        <v>0</v>
      </c>
      <c r="M20" s="1" t="s">
        <v>235</v>
      </c>
      <c r="N20" s="1">
        <v>70</v>
      </c>
      <c r="O20" t="s">
        <v>127</v>
      </c>
      <c r="P20" s="3"/>
      <c r="Q20" s="3"/>
    </row>
    <row r="21" spans="1:17" x14ac:dyDescent="0.4">
      <c r="A21">
        <v>13</v>
      </c>
      <c r="B21" t="s">
        <v>162</v>
      </c>
      <c r="C21" t="s">
        <v>163</v>
      </c>
      <c r="D21" t="s">
        <v>125</v>
      </c>
      <c r="E21" t="s">
        <v>111</v>
      </c>
      <c r="F21" t="s">
        <v>126</v>
      </c>
      <c r="G21">
        <v>5</v>
      </c>
      <c r="H21" s="4" t="s">
        <v>142</v>
      </c>
      <c r="I21" s="5" t="s">
        <v>143</v>
      </c>
      <c r="J21" t="s">
        <v>130</v>
      </c>
      <c r="K21" s="1" t="s">
        <v>122</v>
      </c>
      <c r="L21" t="s">
        <v>0</v>
      </c>
      <c r="M21" s="1" t="s">
        <v>116</v>
      </c>
      <c r="N21" s="1">
        <v>68</v>
      </c>
      <c r="P21" s="3"/>
      <c r="Q21" s="3"/>
    </row>
    <row r="22" spans="1:17" x14ac:dyDescent="0.4">
      <c r="A22">
        <v>14</v>
      </c>
      <c r="B22" t="s">
        <v>164</v>
      </c>
      <c r="C22" t="s">
        <v>165</v>
      </c>
      <c r="D22" t="s">
        <v>125</v>
      </c>
      <c r="E22" t="s">
        <v>111</v>
      </c>
      <c r="F22" t="s">
        <v>126</v>
      </c>
      <c r="G22">
        <v>5</v>
      </c>
      <c r="H22" s="4" t="s">
        <v>142</v>
      </c>
      <c r="I22" s="5" t="s">
        <v>143</v>
      </c>
      <c r="J22" t="s">
        <v>130</v>
      </c>
      <c r="K22" s="1" t="s">
        <v>134</v>
      </c>
      <c r="L22" t="s">
        <v>0</v>
      </c>
      <c r="M22" s="1" t="s">
        <v>122</v>
      </c>
      <c r="N22" s="1">
        <v>74</v>
      </c>
      <c r="P22" s="3"/>
      <c r="Q22" s="3"/>
    </row>
    <row r="23" spans="1:17" x14ac:dyDescent="0.4">
      <c r="A23">
        <v>16</v>
      </c>
      <c r="B23" t="s">
        <v>166</v>
      </c>
      <c r="C23" t="s">
        <v>167</v>
      </c>
      <c r="D23" t="s">
        <v>125</v>
      </c>
      <c r="E23" t="s">
        <v>111</v>
      </c>
      <c r="F23" t="s">
        <v>126</v>
      </c>
      <c r="G23">
        <v>5</v>
      </c>
      <c r="H23" s="4" t="s">
        <v>142</v>
      </c>
      <c r="I23" s="5" t="s">
        <v>143</v>
      </c>
      <c r="J23" t="s">
        <v>130</v>
      </c>
      <c r="K23" s="1" t="s">
        <v>168</v>
      </c>
      <c r="L23" t="s">
        <v>0</v>
      </c>
      <c r="M23" s="1" t="s">
        <v>169</v>
      </c>
      <c r="N23" s="1">
        <v>72</v>
      </c>
      <c r="P23" s="3"/>
      <c r="Q23" s="3"/>
    </row>
    <row r="24" spans="1:17" x14ac:dyDescent="0.4">
      <c r="A24" s="44"/>
      <c r="B24" t="s">
        <v>245</v>
      </c>
      <c r="C24" t="s">
        <v>246</v>
      </c>
      <c r="D24" t="s">
        <v>125</v>
      </c>
      <c r="E24" t="s">
        <v>111</v>
      </c>
      <c r="F24" t="s">
        <v>126</v>
      </c>
      <c r="G24">
        <v>5</v>
      </c>
      <c r="H24" s="4" t="s">
        <v>247</v>
      </c>
      <c r="I24" s="5" t="s">
        <v>248</v>
      </c>
      <c r="J24" t="s">
        <v>130</v>
      </c>
      <c r="K24" s="1" t="s">
        <v>249</v>
      </c>
      <c r="L24" t="s">
        <v>0</v>
      </c>
      <c r="M24" s="1" t="s">
        <v>249</v>
      </c>
      <c r="N24" s="1">
        <v>66</v>
      </c>
      <c r="O24" s="1" t="s">
        <v>250</v>
      </c>
      <c r="P24" s="3"/>
      <c r="Q24" s="3"/>
    </row>
    <row r="25" spans="1:17" x14ac:dyDescent="0.4">
      <c r="A25" s="44"/>
      <c r="B25" t="s">
        <v>251</v>
      </c>
      <c r="C25" t="s">
        <v>252</v>
      </c>
      <c r="D25" t="s">
        <v>125</v>
      </c>
      <c r="E25" t="s">
        <v>111</v>
      </c>
      <c r="F25" t="s">
        <v>126</v>
      </c>
      <c r="G25">
        <v>5</v>
      </c>
      <c r="H25" s="4" t="s">
        <v>247</v>
      </c>
      <c r="I25" s="5" t="s">
        <v>248</v>
      </c>
      <c r="J25" t="s">
        <v>130</v>
      </c>
      <c r="K25" s="1" t="s">
        <v>249</v>
      </c>
      <c r="L25" t="s">
        <v>0</v>
      </c>
      <c r="M25" s="1" t="s">
        <v>249</v>
      </c>
      <c r="N25" s="1">
        <v>70</v>
      </c>
      <c r="O25" s="1" t="s">
        <v>250</v>
      </c>
      <c r="P25" s="3"/>
      <c r="Q25" s="3"/>
    </row>
    <row r="26" spans="1:17" x14ac:dyDescent="0.4">
      <c r="A26" s="44"/>
      <c r="B26" t="s">
        <v>253</v>
      </c>
      <c r="C26" t="s">
        <v>254</v>
      </c>
      <c r="D26" t="s">
        <v>255</v>
      </c>
      <c r="E26" t="s">
        <v>111</v>
      </c>
      <c r="F26" t="s">
        <v>126</v>
      </c>
      <c r="G26">
        <v>2</v>
      </c>
      <c r="H26" s="4" t="s">
        <v>256</v>
      </c>
      <c r="I26" s="5" t="s">
        <v>257</v>
      </c>
      <c r="J26" t="s">
        <v>258</v>
      </c>
      <c r="K26" s="1" t="s">
        <v>259</v>
      </c>
      <c r="L26" t="s">
        <v>260</v>
      </c>
      <c r="M26" s="1" t="s">
        <v>261</v>
      </c>
      <c r="N26" s="1">
        <v>70</v>
      </c>
      <c r="O26" s="1" t="s">
        <v>262</v>
      </c>
      <c r="P26" s="3"/>
      <c r="Q26" s="3"/>
    </row>
    <row r="27" spans="1:17" x14ac:dyDescent="0.4">
      <c r="A27">
        <v>21</v>
      </c>
      <c r="B27" t="s">
        <v>170</v>
      </c>
      <c r="C27" t="s">
        <v>171</v>
      </c>
      <c r="D27" t="s">
        <v>125</v>
      </c>
      <c r="E27" t="s">
        <v>111</v>
      </c>
      <c r="F27" t="s">
        <v>172</v>
      </c>
      <c r="G27">
        <v>5</v>
      </c>
      <c r="H27" s="4" t="s">
        <v>142</v>
      </c>
      <c r="I27" s="5" t="s">
        <v>143</v>
      </c>
      <c r="J27" t="s">
        <v>130</v>
      </c>
      <c r="K27" s="1" t="s">
        <v>134</v>
      </c>
      <c r="L27" t="s">
        <v>0</v>
      </c>
      <c r="M27" s="1" t="s">
        <v>116</v>
      </c>
      <c r="N27" s="1">
        <v>68</v>
      </c>
      <c r="P27" s="3"/>
      <c r="Q27" s="3"/>
    </row>
    <row r="28" spans="1:17" x14ac:dyDescent="0.4">
      <c r="A28">
        <v>22</v>
      </c>
      <c r="B28" t="s">
        <v>173</v>
      </c>
      <c r="C28" t="s">
        <v>174</v>
      </c>
      <c r="D28" t="s">
        <v>125</v>
      </c>
      <c r="E28" t="s">
        <v>111</v>
      </c>
      <c r="F28" t="s">
        <v>172</v>
      </c>
      <c r="G28">
        <v>5</v>
      </c>
      <c r="H28" s="4" t="s">
        <v>142</v>
      </c>
      <c r="I28" s="5" t="s">
        <v>143</v>
      </c>
      <c r="J28" t="s">
        <v>130</v>
      </c>
      <c r="K28" s="1" t="s">
        <v>116</v>
      </c>
      <c r="L28" t="s">
        <v>0</v>
      </c>
      <c r="M28" s="1" t="s">
        <v>131</v>
      </c>
      <c r="N28" s="1">
        <v>68</v>
      </c>
      <c r="P28" s="3"/>
      <c r="Q28" s="3"/>
    </row>
    <row r="29" spans="1:17" x14ac:dyDescent="0.4">
      <c r="A29">
        <v>23</v>
      </c>
      <c r="B29" t="s">
        <v>175</v>
      </c>
      <c r="C29" t="s">
        <v>176</v>
      </c>
      <c r="D29" t="s">
        <v>125</v>
      </c>
      <c r="E29" t="s">
        <v>111</v>
      </c>
      <c r="F29" t="s">
        <v>172</v>
      </c>
      <c r="G29">
        <v>5</v>
      </c>
      <c r="H29" s="4" t="s">
        <v>142</v>
      </c>
      <c r="I29" s="5" t="s">
        <v>143</v>
      </c>
      <c r="J29" t="s">
        <v>130</v>
      </c>
      <c r="K29" s="1" t="s">
        <v>139</v>
      </c>
      <c r="L29" t="s">
        <v>0</v>
      </c>
      <c r="M29" s="1" t="s">
        <v>122</v>
      </c>
      <c r="N29" s="1">
        <v>74</v>
      </c>
      <c r="P29" s="3"/>
      <c r="Q29" s="3"/>
    </row>
    <row r="30" spans="1:17" x14ac:dyDescent="0.4">
      <c r="A30">
        <v>24</v>
      </c>
      <c r="B30" t="s">
        <v>177</v>
      </c>
      <c r="C30" t="s">
        <v>178</v>
      </c>
      <c r="D30" t="s">
        <v>125</v>
      </c>
      <c r="E30" t="s">
        <v>111</v>
      </c>
      <c r="F30" t="s">
        <v>172</v>
      </c>
      <c r="G30">
        <v>5</v>
      </c>
      <c r="H30" s="4" t="s">
        <v>142</v>
      </c>
      <c r="I30" s="5" t="s">
        <v>143</v>
      </c>
      <c r="J30" t="s">
        <v>130</v>
      </c>
      <c r="K30" s="1" t="s">
        <v>139</v>
      </c>
      <c r="L30" t="s">
        <v>0</v>
      </c>
      <c r="M30" s="1" t="s">
        <v>131</v>
      </c>
      <c r="N30" s="1">
        <v>68</v>
      </c>
      <c r="P30" s="3"/>
      <c r="Q30" s="3"/>
    </row>
    <row r="31" spans="1:17" x14ac:dyDescent="0.4">
      <c r="A31">
        <v>25</v>
      </c>
      <c r="B31" s="40" t="s">
        <v>179</v>
      </c>
      <c r="C31" s="40" t="s">
        <v>180</v>
      </c>
      <c r="D31" s="40" t="s">
        <v>125</v>
      </c>
      <c r="E31" s="40" t="s">
        <v>111</v>
      </c>
      <c r="F31" s="40" t="s">
        <v>172</v>
      </c>
      <c r="G31" s="40">
        <v>5</v>
      </c>
      <c r="H31" s="41"/>
      <c r="I31" s="42"/>
      <c r="J31" s="40" t="s">
        <v>130</v>
      </c>
      <c r="K31" s="43" t="s">
        <v>116</v>
      </c>
      <c r="L31" s="40" t="s">
        <v>0</v>
      </c>
      <c r="M31" s="43" t="s">
        <v>131</v>
      </c>
      <c r="N31" s="43">
        <v>70</v>
      </c>
      <c r="O31" s="1" t="s">
        <v>234</v>
      </c>
      <c r="P31" s="3"/>
      <c r="Q31" s="3"/>
    </row>
    <row r="32" spans="1:17" x14ac:dyDescent="0.4">
      <c r="B32" t="s">
        <v>238</v>
      </c>
      <c r="C32" t="s">
        <v>239</v>
      </c>
      <c r="D32" t="s">
        <v>240</v>
      </c>
      <c r="E32" t="s">
        <v>241</v>
      </c>
      <c r="F32" t="s">
        <v>172</v>
      </c>
      <c r="G32">
        <v>5</v>
      </c>
      <c r="H32" s="4" t="s">
        <v>142</v>
      </c>
      <c r="I32" s="5" t="s">
        <v>143</v>
      </c>
      <c r="J32" t="s">
        <v>130</v>
      </c>
      <c r="K32" s="1" t="s">
        <v>242</v>
      </c>
      <c r="L32" t="s">
        <v>0</v>
      </c>
      <c r="M32" s="1" t="s">
        <v>243</v>
      </c>
      <c r="N32" s="1">
        <v>70</v>
      </c>
      <c r="O32" s="1" t="s">
        <v>244</v>
      </c>
      <c r="P32" s="3"/>
      <c r="Q32" s="3"/>
    </row>
    <row r="33" spans="1:17" x14ac:dyDescent="0.4">
      <c r="A33">
        <v>1</v>
      </c>
      <c r="B33" t="s">
        <v>181</v>
      </c>
      <c r="C33" t="s">
        <v>182</v>
      </c>
      <c r="D33" t="s">
        <v>125</v>
      </c>
      <c r="E33" t="s">
        <v>183</v>
      </c>
      <c r="F33" t="s">
        <v>126</v>
      </c>
      <c r="G33">
        <v>5</v>
      </c>
      <c r="H33" s="4" t="s">
        <v>184</v>
      </c>
      <c r="I33" s="5" t="s">
        <v>143</v>
      </c>
      <c r="J33" t="s">
        <v>1</v>
      </c>
      <c r="K33" s="1" t="s">
        <v>139</v>
      </c>
      <c r="L33" t="s">
        <v>0</v>
      </c>
      <c r="M33" s="1" t="s">
        <v>139</v>
      </c>
      <c r="N33" s="1">
        <v>70</v>
      </c>
      <c r="P33" s="3"/>
      <c r="Q33" s="3"/>
    </row>
    <row r="34" spans="1:17" x14ac:dyDescent="0.4">
      <c r="A34">
        <v>26</v>
      </c>
      <c r="B34" t="s">
        <v>185</v>
      </c>
      <c r="C34" t="s">
        <v>186</v>
      </c>
      <c r="D34" t="s">
        <v>187</v>
      </c>
      <c r="E34" t="s">
        <v>111</v>
      </c>
      <c r="F34" t="s">
        <v>126</v>
      </c>
      <c r="G34">
        <v>5</v>
      </c>
      <c r="H34" s="4" t="s">
        <v>188</v>
      </c>
      <c r="I34" s="5" t="s">
        <v>189</v>
      </c>
      <c r="J34" t="s">
        <v>190</v>
      </c>
      <c r="K34" s="1" t="s">
        <v>134</v>
      </c>
      <c r="L34" t="s">
        <v>191</v>
      </c>
      <c r="M34" s="1" t="s">
        <v>134</v>
      </c>
      <c r="N34" s="1">
        <v>62</v>
      </c>
      <c r="P34" s="3"/>
      <c r="Q34" s="3"/>
    </row>
    <row r="35" spans="1:17" x14ac:dyDescent="0.4">
      <c r="A35">
        <v>27</v>
      </c>
      <c r="B35" t="s">
        <v>192</v>
      </c>
      <c r="C35" t="s">
        <v>193</v>
      </c>
      <c r="D35" t="s">
        <v>187</v>
      </c>
      <c r="E35" t="s">
        <v>111</v>
      </c>
      <c r="F35" t="s">
        <v>126</v>
      </c>
      <c r="G35">
        <v>5</v>
      </c>
      <c r="H35" s="4" t="s">
        <v>188</v>
      </c>
      <c r="I35" s="5" t="s">
        <v>189</v>
      </c>
      <c r="J35" t="s">
        <v>190</v>
      </c>
      <c r="K35" s="1" t="s">
        <v>122</v>
      </c>
      <c r="L35" t="s">
        <v>191</v>
      </c>
      <c r="M35" s="1" t="s">
        <v>122</v>
      </c>
      <c r="N35" s="1">
        <v>62</v>
      </c>
      <c r="P35" s="3"/>
      <c r="Q35" s="3"/>
    </row>
    <row r="36" spans="1:17" x14ac:dyDescent="0.4">
      <c r="A36">
        <v>28</v>
      </c>
      <c r="B36" t="s">
        <v>194</v>
      </c>
      <c r="C36" t="s">
        <v>195</v>
      </c>
      <c r="D36" t="s">
        <v>187</v>
      </c>
      <c r="E36" t="s">
        <v>111</v>
      </c>
      <c r="F36" t="s">
        <v>126</v>
      </c>
      <c r="G36">
        <v>5</v>
      </c>
      <c r="H36" s="4" t="s">
        <v>188</v>
      </c>
      <c r="I36" s="5" t="s">
        <v>189</v>
      </c>
      <c r="J36" t="s">
        <v>190</v>
      </c>
      <c r="K36" s="1" t="s">
        <v>139</v>
      </c>
      <c r="L36" t="s">
        <v>191</v>
      </c>
      <c r="M36" s="1" t="s">
        <v>134</v>
      </c>
      <c r="N36" s="1">
        <v>70</v>
      </c>
      <c r="P36" s="3"/>
      <c r="Q36" s="3"/>
    </row>
    <row r="37" spans="1:17" x14ac:dyDescent="0.4">
      <c r="A37">
        <v>29</v>
      </c>
      <c r="B37" s="40" t="s">
        <v>196</v>
      </c>
      <c r="C37" s="40" t="s">
        <v>197</v>
      </c>
      <c r="D37" s="40" t="s">
        <v>187</v>
      </c>
      <c r="E37" s="40" t="s">
        <v>111</v>
      </c>
      <c r="F37" s="40" t="s">
        <v>126</v>
      </c>
      <c r="G37" s="40">
        <v>5</v>
      </c>
      <c r="H37" s="41"/>
      <c r="I37" s="42"/>
      <c r="J37" s="40" t="s">
        <v>190</v>
      </c>
      <c r="K37" s="43" t="s">
        <v>122</v>
      </c>
      <c r="L37" s="40" t="s">
        <v>191</v>
      </c>
      <c r="M37" s="43" t="s">
        <v>122</v>
      </c>
      <c r="N37" s="43">
        <v>70</v>
      </c>
      <c r="O37" s="1" t="s">
        <v>237</v>
      </c>
      <c r="P37" s="3"/>
      <c r="Q37" s="3"/>
    </row>
    <row r="38" spans="1:17" x14ac:dyDescent="0.4">
      <c r="A38">
        <v>30</v>
      </c>
      <c r="B38" t="s">
        <v>198</v>
      </c>
      <c r="C38" t="s">
        <v>199</v>
      </c>
      <c r="D38" t="s">
        <v>187</v>
      </c>
      <c r="E38" t="s">
        <v>111</v>
      </c>
      <c r="F38" t="s">
        <v>126</v>
      </c>
      <c r="G38">
        <v>5</v>
      </c>
      <c r="H38" s="4" t="s">
        <v>188</v>
      </c>
      <c r="I38" s="5" t="s">
        <v>189</v>
      </c>
      <c r="J38" t="s">
        <v>190</v>
      </c>
      <c r="K38" s="1" t="s">
        <v>122</v>
      </c>
      <c r="L38" t="s">
        <v>191</v>
      </c>
      <c r="M38" s="1" t="s">
        <v>122</v>
      </c>
      <c r="N38" s="1">
        <v>68</v>
      </c>
      <c r="P38" s="3"/>
      <c r="Q38" s="3"/>
    </row>
    <row r="39" spans="1:17" x14ac:dyDescent="0.4">
      <c r="A39">
        <v>2</v>
      </c>
      <c r="B39" t="s">
        <v>200</v>
      </c>
      <c r="C39" t="s">
        <v>201</v>
      </c>
      <c r="D39" t="s">
        <v>187</v>
      </c>
      <c r="E39" t="s">
        <v>183</v>
      </c>
      <c r="F39" t="s">
        <v>126</v>
      </c>
      <c r="G39">
        <v>5</v>
      </c>
      <c r="H39" s="4" t="s">
        <v>188</v>
      </c>
      <c r="I39" s="5" t="s">
        <v>189</v>
      </c>
      <c r="J39" t="s">
        <v>190</v>
      </c>
      <c r="K39" s="1" t="s">
        <v>168</v>
      </c>
      <c r="L39" t="s">
        <v>191</v>
      </c>
      <c r="M39" s="1" t="s">
        <v>169</v>
      </c>
      <c r="N39" s="1">
        <v>70</v>
      </c>
      <c r="P39" s="3"/>
      <c r="Q39" s="3"/>
    </row>
    <row r="40" spans="1:17" x14ac:dyDescent="0.4">
      <c r="A40">
        <v>3</v>
      </c>
      <c r="B40" t="s">
        <v>202</v>
      </c>
      <c r="C40" t="s">
        <v>203</v>
      </c>
      <c r="D40" t="s">
        <v>187</v>
      </c>
      <c r="E40" t="s">
        <v>183</v>
      </c>
      <c r="F40" t="s">
        <v>126</v>
      </c>
      <c r="G40">
        <v>5</v>
      </c>
      <c r="H40" s="4" t="s">
        <v>188</v>
      </c>
      <c r="I40" s="5" t="s">
        <v>189</v>
      </c>
      <c r="J40" t="s">
        <v>190</v>
      </c>
      <c r="K40" s="1" t="s">
        <v>139</v>
      </c>
      <c r="L40" t="s">
        <v>191</v>
      </c>
      <c r="M40" s="1" t="s">
        <v>139</v>
      </c>
      <c r="N40" s="1">
        <v>76</v>
      </c>
      <c r="P40" s="3"/>
      <c r="Q40" s="3"/>
    </row>
    <row r="41" spans="1:17" x14ac:dyDescent="0.4">
      <c r="A41">
        <v>4</v>
      </c>
      <c r="B41" s="40" t="s">
        <v>204</v>
      </c>
      <c r="C41" s="40" t="s">
        <v>205</v>
      </c>
      <c r="D41" s="40" t="s">
        <v>187</v>
      </c>
      <c r="E41" s="40" t="s">
        <v>183</v>
      </c>
      <c r="F41" s="40" t="s">
        <v>126</v>
      </c>
      <c r="G41" s="40">
        <v>5</v>
      </c>
      <c r="H41" s="41"/>
      <c r="I41" s="42"/>
      <c r="J41" s="40" t="s">
        <v>190</v>
      </c>
      <c r="K41" s="43" t="s">
        <v>122</v>
      </c>
      <c r="L41" s="40" t="s">
        <v>191</v>
      </c>
      <c r="M41" s="43" t="s">
        <v>122</v>
      </c>
      <c r="N41" s="43">
        <v>72</v>
      </c>
      <c r="O41" t="s">
        <v>236</v>
      </c>
      <c r="P41" s="3"/>
      <c r="Q41" s="3"/>
    </row>
    <row r="42" spans="1:17" x14ac:dyDescent="0.4">
      <c r="A42">
        <v>34</v>
      </c>
      <c r="B42" t="s">
        <v>206</v>
      </c>
      <c r="C42" t="s">
        <v>207</v>
      </c>
      <c r="D42" t="s">
        <v>208</v>
      </c>
      <c r="E42" t="s">
        <v>111</v>
      </c>
      <c r="F42" t="s">
        <v>126</v>
      </c>
      <c r="G42">
        <v>3</v>
      </c>
      <c r="H42" s="4" t="s">
        <v>66</v>
      </c>
      <c r="I42" s="5" t="s">
        <v>71</v>
      </c>
      <c r="J42" t="s">
        <v>209</v>
      </c>
      <c r="K42" s="1" t="s">
        <v>122</v>
      </c>
      <c r="L42" t="s">
        <v>210</v>
      </c>
      <c r="M42" s="1" t="s">
        <v>122</v>
      </c>
      <c r="N42" s="1">
        <v>70</v>
      </c>
      <c r="P42" s="3"/>
      <c r="Q42" s="3"/>
    </row>
    <row r="43" spans="1:17" x14ac:dyDescent="0.4">
      <c r="A43">
        <v>36</v>
      </c>
      <c r="B43" t="s">
        <v>211</v>
      </c>
      <c r="C43" t="s">
        <v>212</v>
      </c>
      <c r="D43" t="s">
        <v>208</v>
      </c>
      <c r="E43" t="s">
        <v>111</v>
      </c>
      <c r="F43" t="s">
        <v>172</v>
      </c>
      <c r="G43">
        <v>3</v>
      </c>
      <c r="H43" s="4" t="s">
        <v>66</v>
      </c>
      <c r="I43" s="5" t="s">
        <v>71</v>
      </c>
      <c r="J43" t="s">
        <v>209</v>
      </c>
      <c r="K43" s="1" t="s">
        <v>139</v>
      </c>
      <c r="L43" t="s">
        <v>210</v>
      </c>
      <c r="M43" s="1" t="s">
        <v>139</v>
      </c>
      <c r="N43" s="1">
        <v>70</v>
      </c>
      <c r="P43" s="3"/>
      <c r="Q43" s="3"/>
    </row>
    <row r="44" spans="1:17" x14ac:dyDescent="0.4">
      <c r="A44">
        <v>33</v>
      </c>
      <c r="B44" t="s">
        <v>213</v>
      </c>
      <c r="C44" t="s">
        <v>214</v>
      </c>
      <c r="D44" t="s">
        <v>208</v>
      </c>
      <c r="E44" t="s">
        <v>111</v>
      </c>
      <c r="F44" t="s">
        <v>126</v>
      </c>
      <c r="G44">
        <v>5</v>
      </c>
      <c r="H44" s="4" t="s">
        <v>215</v>
      </c>
      <c r="I44" s="5" t="s">
        <v>216</v>
      </c>
      <c r="J44" t="s">
        <v>209</v>
      </c>
      <c r="K44" s="1" t="s">
        <v>139</v>
      </c>
      <c r="L44" t="s">
        <v>210</v>
      </c>
      <c r="M44" s="1" t="s">
        <v>122</v>
      </c>
      <c r="N44" s="1">
        <v>68</v>
      </c>
      <c r="P44" s="3"/>
      <c r="Q44" s="3"/>
    </row>
    <row r="45" spans="1:17" x14ac:dyDescent="0.4">
      <c r="A45">
        <v>35</v>
      </c>
      <c r="B45" t="s">
        <v>217</v>
      </c>
      <c r="C45" t="s">
        <v>218</v>
      </c>
      <c r="D45" t="s">
        <v>208</v>
      </c>
      <c r="E45" t="s">
        <v>111</v>
      </c>
      <c r="F45" t="s">
        <v>172</v>
      </c>
      <c r="G45">
        <v>5</v>
      </c>
      <c r="H45" s="4" t="s">
        <v>215</v>
      </c>
      <c r="I45" s="5" t="s">
        <v>216</v>
      </c>
      <c r="J45" t="s">
        <v>209</v>
      </c>
      <c r="K45" s="1" t="s">
        <v>116</v>
      </c>
      <c r="L45" t="s">
        <v>210</v>
      </c>
      <c r="M45" s="1" t="s">
        <v>116</v>
      </c>
      <c r="N45" s="1">
        <v>68</v>
      </c>
      <c r="P45" s="3"/>
      <c r="Q45" s="3"/>
    </row>
    <row r="46" spans="1:17" x14ac:dyDescent="0.4">
      <c r="A46">
        <v>18</v>
      </c>
      <c r="B46" t="s">
        <v>219</v>
      </c>
      <c r="C46" t="s">
        <v>220</v>
      </c>
      <c r="D46" t="s">
        <v>221</v>
      </c>
      <c r="E46" t="s">
        <v>111</v>
      </c>
      <c r="F46" t="s">
        <v>126</v>
      </c>
      <c r="G46">
        <v>2</v>
      </c>
      <c r="H46" s="4" t="s">
        <v>28</v>
      </c>
      <c r="I46" s="5" t="s">
        <v>33</v>
      </c>
      <c r="J46" t="s">
        <v>130</v>
      </c>
      <c r="K46" s="1" t="s">
        <v>116</v>
      </c>
      <c r="L46" t="s">
        <v>0</v>
      </c>
      <c r="M46" s="1" t="s">
        <v>116</v>
      </c>
      <c r="N46" s="1">
        <v>60</v>
      </c>
      <c r="P46" s="3"/>
      <c r="Q46" s="3"/>
    </row>
    <row r="47" spans="1:17" x14ac:dyDescent="0.4">
      <c r="P47" s="3"/>
      <c r="Q47" s="3"/>
    </row>
    <row r="48" spans="1:17" x14ac:dyDescent="0.4">
      <c r="P48" s="3"/>
      <c r="Q48" s="3"/>
    </row>
    <row r="49" spans="16:17" x14ac:dyDescent="0.4">
      <c r="P49" s="3"/>
      <c r="Q49" s="3"/>
    </row>
  </sheetData>
  <autoFilter ref="A1:Q108" xr:uid="{384EDEFB-DCD6-4DE3-8DD2-16F3B160BC2B}">
    <sortState xmlns:xlrd2="http://schemas.microsoft.com/office/spreadsheetml/2017/richdata2" ref="A71:Q104">
      <sortCondition ref="G1:G108"/>
    </sortState>
  </autoFilter>
  <phoneticPr fontId="3"/>
  <pageMargins left="0.70866141732283472" right="0.70866141732283472" top="0.74803149606299213" bottom="0.74803149606299213" header="0.31496062992125984" footer="0.31496062992125984"/>
  <pageSetup paperSize="9" scale="46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契約内容請求内訳</vt:lpstr>
      <vt:lpstr>元データ</vt:lpstr>
      <vt:lpstr>契約内容請求内訳!Print_Area</vt:lpstr>
      <vt:lpstr>元データ!Print_Area</vt:lpstr>
      <vt:lpstr>契約内容請求内訳!Print_Titles</vt:lpstr>
      <vt:lpstr>元データ!Print_Titles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松本</cp:lastModifiedBy>
  <cp:lastPrinted>2026-02-02T07:16:15Z</cp:lastPrinted>
  <dcterms:created xsi:type="dcterms:W3CDTF">2026-02-02T06:49:41Z</dcterms:created>
  <dcterms:modified xsi:type="dcterms:W3CDTF">2026-05-12T07:24:35Z</dcterms:modified>
</cp:coreProperties>
</file>